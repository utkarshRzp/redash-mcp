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NeetCode 150" sheetId="2" state="visible" r:id="rId4"/>
    <sheet name="DSA Patterns" sheetId="3" state="visible" r:id="rId5"/>
    <sheet name="System Design" sheetId="4" state="visible" r:id="rId6"/>
    <sheet name="SD Scenarios" sheetId="5" state="visible" r:id="rId7"/>
    <sheet name="CS Fundamentals" sheetId="6" state="visible" r:id="rId8"/>
    <sheet name="LLD &amp; OOD" sheetId="7" state="visible" r:id="rId9"/>
    <sheet name="Behavioral" sheetId="8" state="visible" r:id="rId10"/>
    <sheet name="Resources" sheetId="9" state="visible" r:id="rId11"/>
    <sheet name="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<sst xmlns="http://schemas.openxmlformats.org/spreadsheetml/2006/main" count="1567" uniqueCount="690">
  <si>
    <t xml:space="preserve">SDE-2 Interview Prep Tracker</t>
  </si>
  <si>
    <t xml:space="preserve">Goal</t>
  </si>
  <si>
    <t xml:space="preserve">Clear the MAJORITY of SDE-2 interviews. Strategy = breadth of PATTERNS + solid fundamentals, NOT grinding the hardest Hard problems. Tier 3 items are 'do if time permits'.</t>
  </si>
  <si>
    <t xml:space="preserve">How to use</t>
  </si>
  <si>
    <t xml:space="preserve">Work the 'NeetCode 150' tab by Tier. Update Status (dropdown) + Confidence (1-5) as you go. The Dashboard tab auto-summarizes your progress.</t>
  </si>
  <si>
    <t xml:space="preserve">Tiering</t>
  </si>
  <si>
    <t xml:space="preserve">Tier 1 = core, high-frequency, MUST be automatic. Tier 2 = important, know the pattern cold. Tier 3 = harder / lower-frequency, attempt after Tiers 1-2.</t>
  </si>
  <si>
    <t xml:space="preserve">Suggested order</t>
  </si>
  <si>
    <t xml:space="preserve">Patterns first (recognize the shape) -&gt; Tier 1 across all categories -&gt; Tier 2 -&gt; revisit weak ones -&gt; Tier 3. Then layer in System Design + Fundamentals.</t>
  </si>
  <si>
    <t xml:space="preserve">Tabs</t>
  </si>
  <si>
    <t xml:space="preserve">NeetCode 150 (143-ish problems) | DSA Patterns | System Design | SD Scenarios | CS Fundamentals | LLD &amp; OOD | Behavioral | Resources | Dashboard</t>
  </si>
  <si>
    <t xml:space="preserve">Time budget</t>
  </si>
  <si>
    <t xml:space="preserve">Tier 1 problem: aim &lt; 20 min. If stuck &gt; 30 min, read the solution, understand it, mark 'Needs Review', and re-attempt in 3-5 days (spaced repetition).</t>
  </si>
  <si>
    <t xml:space="preserve">Confidence scale</t>
  </si>
  <si>
    <t xml:space="preserve">1 = no idea | 2 = needed solution | 3 = solved w/ hints | 4 = solved cleanly | 5 = can teach it. Only 4-5 counts as 'done' for interviews.</t>
  </si>
  <si>
    <t xml:space="preserve">SDE-2 extras</t>
  </si>
  <si>
    <t xml:space="preserve">Beyond DSA: System Design, Low-Level Design / OOD, CS Fundamentals, and Behavioral (ownership + influence) are all evaluated. Don't skip them.</t>
  </si>
  <si>
    <t xml:space="preserve">Free first</t>
  </si>
  <si>
    <t xml:space="preserve">Every resource link is free unless marked 'Paid'/'Freemium' in the Resources tab. NeetCode + System Design Primer + Hello Interview cover ~80% of needs for free.</t>
  </si>
  <si>
    <t xml:space="preserve">Legend</t>
  </si>
  <si>
    <t xml:space="preserve">Tier 1</t>
  </si>
  <si>
    <t xml:space="preserve">Core / high-frequency — master these</t>
  </si>
  <si>
    <t xml:space="preserve">Tier 2</t>
  </si>
  <si>
    <t xml:space="preserve">Important — know the pattern</t>
  </si>
  <si>
    <t xml:space="preserve">Tier 3</t>
  </si>
  <si>
    <t xml:space="preserve">Harder / lower-frequency — do if time permits</t>
  </si>
  <si>
    <t xml:space="preserve">NeetCode 150  —  tiered for SDE-2 (focus Tier 1 &amp; 2)</t>
  </si>
  <si>
    <t xml:space="preserve">#</t>
  </si>
  <si>
    <t xml:space="preserve">Category</t>
  </si>
  <si>
    <t xml:space="preserve">Problem</t>
  </si>
  <si>
    <t xml:space="preserve">Difficulty</t>
  </si>
  <si>
    <t xml:space="preserve">Tier</t>
  </si>
  <si>
    <t xml:space="preserve">Pattern / Technique</t>
  </si>
  <si>
    <t xml:space="preserve">LeetCode Link</t>
  </si>
  <si>
    <t xml:space="preserve">Status</t>
  </si>
  <si>
    <t xml:space="preserve">Confidence (1-5)</t>
  </si>
  <si>
    <t xml:space="preserve">Attempts</t>
  </si>
  <si>
    <t xml:space="preserve">Last Done</t>
  </si>
  <si>
    <t xml:space="preserve">Notes</t>
  </si>
  <si>
    <t xml:space="preserve">Arrays &amp; Hashing</t>
  </si>
  <si>
    <t xml:space="preserve">Contains Duplicate</t>
  </si>
  <si>
    <t xml:space="preserve">Easy</t>
  </si>
  <si>
    <t xml:space="preserve">Hash set</t>
  </si>
  <si>
    <t xml:space="preserve">Solve</t>
  </si>
  <si>
    <t xml:space="preserve">Not Started</t>
  </si>
  <si>
    <t xml:space="preserve">Valid Anagram</t>
  </si>
  <si>
    <t xml:space="preserve">Hash map / count</t>
  </si>
  <si>
    <t xml:space="preserve">Two Sum</t>
  </si>
  <si>
    <t xml:space="preserve">Hash map complement</t>
  </si>
  <si>
    <t xml:space="preserve">Group Anagrams</t>
  </si>
  <si>
    <t xml:space="preserve">Medium</t>
  </si>
  <si>
    <t xml:space="preserve">Hash map keyed by signature</t>
  </si>
  <si>
    <t xml:space="preserve">Top K Frequent Elements</t>
  </si>
  <si>
    <t xml:space="preserve">Bucket sort / heap</t>
  </si>
  <si>
    <t xml:space="preserve">Encode and Decode Strings</t>
  </si>
  <si>
    <t xml:space="preserve">Length-prefix encoding</t>
  </si>
  <si>
    <t xml:space="preserve">Product of Array Except Self</t>
  </si>
  <si>
    <t xml:space="preserve">Prefix/suffix products</t>
  </si>
  <si>
    <t xml:space="preserve">Valid Sudoku</t>
  </si>
  <si>
    <t xml:space="preserve">Hash sets per row/col/box</t>
  </si>
  <si>
    <t xml:space="preserve">Longest Consecutive Sequence</t>
  </si>
  <si>
    <t xml:space="preserve">Hash set sequence walk</t>
  </si>
  <si>
    <t xml:space="preserve">Two Pointers</t>
  </si>
  <si>
    <t xml:space="preserve">Valid Palindrome</t>
  </si>
  <si>
    <t xml:space="preserve">Two pointers</t>
  </si>
  <si>
    <t xml:space="preserve">Two Sum II Input Array Is Sorted</t>
  </si>
  <si>
    <t xml:space="preserve">Two pointers sorted</t>
  </si>
  <si>
    <t xml:space="preserve">3Sum</t>
  </si>
  <si>
    <t xml:space="preserve">Sort + two pointers</t>
  </si>
  <si>
    <t xml:space="preserve">Container With Most Water</t>
  </si>
  <si>
    <t xml:space="preserve">Two pointers greedy</t>
  </si>
  <si>
    <t xml:space="preserve">Trapping Rain Water</t>
  </si>
  <si>
    <t xml:space="preserve">Hard</t>
  </si>
  <si>
    <t xml:space="preserve">Two pointers / prefix max</t>
  </si>
  <si>
    <t xml:space="preserve">Sliding Window</t>
  </si>
  <si>
    <t xml:space="preserve">Best Time to Buy and Sell Stock</t>
  </si>
  <si>
    <t xml:space="preserve">Sliding window min</t>
  </si>
  <si>
    <t xml:space="preserve">Longest Substring Without Repeating Characters</t>
  </si>
  <si>
    <t xml:space="preserve">Variable window + set</t>
  </si>
  <si>
    <t xml:space="preserve">Longest Repeating Character Replacement</t>
  </si>
  <si>
    <t xml:space="preserve">Window + freq count</t>
  </si>
  <si>
    <t xml:space="preserve">Permutation in String</t>
  </si>
  <si>
    <t xml:space="preserve">Fixed window + freq</t>
  </si>
  <si>
    <t xml:space="preserve">Minimum Window Substring</t>
  </si>
  <si>
    <t xml:space="preserve">Variable window + need map</t>
  </si>
  <si>
    <t xml:space="preserve">Sliding Window Maximum</t>
  </si>
  <si>
    <t xml:space="preserve">Monotonic deque</t>
  </si>
  <si>
    <t xml:space="preserve">Stack</t>
  </si>
  <si>
    <t xml:space="preserve">Valid Parentheses</t>
  </si>
  <si>
    <t xml:space="preserve">Stack matching</t>
  </si>
  <si>
    <t xml:space="preserve">Min Stack</t>
  </si>
  <si>
    <t xml:space="preserve">Stack with aux min</t>
  </si>
  <si>
    <t xml:space="preserve">Evaluate Reverse Polish Notation</t>
  </si>
  <si>
    <t xml:space="preserve">Stack eval</t>
  </si>
  <si>
    <t xml:space="preserve">Generate Parentheses</t>
  </si>
  <si>
    <t xml:space="preserve">Backtracking + stack</t>
  </si>
  <si>
    <t xml:space="preserve">Daily Temperatures</t>
  </si>
  <si>
    <t xml:space="preserve">Monotonic stack</t>
  </si>
  <si>
    <t xml:space="preserve">Car Fleet</t>
  </si>
  <si>
    <t xml:space="preserve">Sort + monotonic stack</t>
  </si>
  <si>
    <t xml:space="preserve">Largest Rectangle in Histogram</t>
  </si>
  <si>
    <t xml:space="preserve">Binary Search</t>
  </si>
  <si>
    <t xml:space="preserve">Classic binary search</t>
  </si>
  <si>
    <t xml:space="preserve">Search a 2D Matrix</t>
  </si>
  <si>
    <t xml:space="preserve">BS on flattened matrix</t>
  </si>
  <si>
    <t xml:space="preserve">Koko Eating Bananas</t>
  </si>
  <si>
    <t xml:space="preserve">BS on answer space</t>
  </si>
  <si>
    <t xml:space="preserve">Find Minimum in Rotated Sorted Array</t>
  </si>
  <si>
    <t xml:space="preserve">BS on rotation</t>
  </si>
  <si>
    <t xml:space="preserve">Search in Rotated Sorted Array</t>
  </si>
  <si>
    <t xml:space="preserve">Time Based Key-Value Store</t>
  </si>
  <si>
    <t xml:space="preserve">BS on timestamps</t>
  </si>
  <si>
    <t xml:space="preserve">Median of Two Sorted Arrays</t>
  </si>
  <si>
    <t xml:space="preserve">BS partition</t>
  </si>
  <si>
    <t xml:space="preserve">Linked List</t>
  </si>
  <si>
    <t xml:space="preserve">Reverse Linked List</t>
  </si>
  <si>
    <t xml:space="preserve">Pointer reversal</t>
  </si>
  <si>
    <t xml:space="preserve">Merge Two Sorted Lists</t>
  </si>
  <si>
    <t xml:space="preserve">Merge pointers</t>
  </si>
  <si>
    <t xml:space="preserve">Reorder List</t>
  </si>
  <si>
    <t xml:space="preserve">Mid + reverse + merge</t>
  </si>
  <si>
    <t xml:space="preserve">Remove Nth Node From End of List</t>
  </si>
  <si>
    <t xml:space="preserve">Two pointers gap</t>
  </si>
  <si>
    <t xml:space="preserve">Copy List with Random Pointer</t>
  </si>
  <si>
    <t xml:space="preserve">Hash map / interleave</t>
  </si>
  <si>
    <t xml:space="preserve">Add Two Numbers</t>
  </si>
  <si>
    <t xml:space="preserve">Carry traversal</t>
  </si>
  <si>
    <t xml:space="preserve">Linked List Cycle</t>
  </si>
  <si>
    <t xml:space="preserve">Floyd cycle detection</t>
  </si>
  <si>
    <t xml:space="preserve">Find the Duplicate Number</t>
  </si>
  <si>
    <t xml:space="preserve">Floyd on indices</t>
  </si>
  <si>
    <t xml:space="preserve">LRU Cache</t>
  </si>
  <si>
    <t xml:space="preserve">Hash map + doubly LL</t>
  </si>
  <si>
    <t xml:space="preserve">Merge K Sorted Lists</t>
  </si>
  <si>
    <t xml:space="preserve">Heap / divide &amp; conquer</t>
  </si>
  <si>
    <t xml:space="preserve">Reverse Nodes in K Group</t>
  </si>
  <si>
    <t xml:space="preserve">Group reversal</t>
  </si>
  <si>
    <t xml:space="preserve">Trees</t>
  </si>
  <si>
    <t xml:space="preserve">Invert Binary Tree</t>
  </si>
  <si>
    <t xml:space="preserve">DFS recursion</t>
  </si>
  <si>
    <t xml:space="preserve">Maximum Depth of Binary Tree</t>
  </si>
  <si>
    <t xml:space="preserve">DFS/BFS</t>
  </si>
  <si>
    <t xml:space="preserve">Diameter of Binary Tree</t>
  </si>
  <si>
    <t xml:space="preserve">DFS height</t>
  </si>
  <si>
    <t xml:space="preserve">Balanced Binary Tree</t>
  </si>
  <si>
    <t xml:space="preserve">DFS height check</t>
  </si>
  <si>
    <t xml:space="preserve">Same Tree</t>
  </si>
  <si>
    <t xml:space="preserve">DFS compare</t>
  </si>
  <si>
    <t xml:space="preserve">Subtree of Another Tree</t>
  </si>
  <si>
    <t xml:space="preserve">DFS + same tree</t>
  </si>
  <si>
    <t xml:space="preserve">Lowest Common Ancestor of a BST</t>
  </si>
  <si>
    <t xml:space="preserve">BST property walk</t>
  </si>
  <si>
    <t xml:space="preserve">Binary Tree Level Order Traversal</t>
  </si>
  <si>
    <t xml:space="preserve">BFS by level</t>
  </si>
  <si>
    <t xml:space="preserve">Binary Tree Right Side View</t>
  </si>
  <si>
    <t xml:space="preserve">BFS last in level</t>
  </si>
  <si>
    <t xml:space="preserve">Count Good Nodes in Binary Tree</t>
  </si>
  <si>
    <t xml:space="preserve">DFS w/ running max</t>
  </si>
  <si>
    <t xml:space="preserve">Validate Binary Search Tree</t>
  </si>
  <si>
    <t xml:space="preserve">DFS w/ bounds</t>
  </si>
  <si>
    <t xml:space="preserve">Kth Smallest Element in a BST</t>
  </si>
  <si>
    <t xml:space="preserve">Inorder traversal</t>
  </si>
  <si>
    <t xml:space="preserve">Construct Binary Tree from Preorder and Inorder</t>
  </si>
  <si>
    <t xml:space="preserve">Recursive build</t>
  </si>
  <si>
    <t xml:space="preserve">Binary Tree Maximum Path Sum</t>
  </si>
  <si>
    <t xml:space="preserve">DFS w/ gain</t>
  </si>
  <si>
    <t xml:space="preserve">Serialize and Deserialize Binary Tree</t>
  </si>
  <si>
    <t xml:space="preserve">Preorder ser/deser</t>
  </si>
  <si>
    <t xml:space="preserve">Tries</t>
  </si>
  <si>
    <t xml:space="preserve">Implement Trie Prefix Tree</t>
  </si>
  <si>
    <t xml:space="preserve">Trie nodes</t>
  </si>
  <si>
    <t xml:space="preserve">Design Add and Search Words Data Structure</t>
  </si>
  <si>
    <t xml:space="preserve">Trie + DFS wildcard</t>
  </si>
  <si>
    <t xml:space="preserve">Word Search II</t>
  </si>
  <si>
    <t xml:space="preserve">Trie + backtracking</t>
  </si>
  <si>
    <t xml:space="preserve">Heap / Priority Queue</t>
  </si>
  <si>
    <t xml:space="preserve">Kth Largest Element in a Stream</t>
  </si>
  <si>
    <t xml:space="preserve">Min-heap size k</t>
  </si>
  <si>
    <t xml:space="preserve">Last Stone Weight</t>
  </si>
  <si>
    <t xml:space="preserve">Max-heap</t>
  </si>
  <si>
    <t xml:space="preserve">K Closest Points to Origin</t>
  </si>
  <si>
    <t xml:space="preserve">Heap / quickselect</t>
  </si>
  <si>
    <t xml:space="preserve">Kth Largest Element in an Array</t>
  </si>
  <si>
    <t xml:space="preserve">Task Scheduler</t>
  </si>
  <si>
    <t xml:space="preserve">Greedy + heap</t>
  </si>
  <si>
    <t xml:space="preserve">Design Twitter</t>
  </si>
  <si>
    <t xml:space="preserve">Heap merge feeds</t>
  </si>
  <si>
    <t xml:space="preserve">Find Median from Data Stream</t>
  </si>
  <si>
    <t xml:space="preserve">Two heaps</t>
  </si>
  <si>
    <t xml:space="preserve">Backtracking</t>
  </si>
  <si>
    <t xml:space="preserve">Subsets</t>
  </si>
  <si>
    <t xml:space="preserve">Backtracking include/exclude</t>
  </si>
  <si>
    <t xml:space="preserve">Combination Sum</t>
  </si>
  <si>
    <t xml:space="preserve">Backtracking w/ reuse</t>
  </si>
  <si>
    <t xml:space="preserve">Permutations</t>
  </si>
  <si>
    <t xml:space="preserve">Backtracking swap</t>
  </si>
  <si>
    <t xml:space="preserve">Subsets II</t>
  </si>
  <si>
    <t xml:space="preserve">Backtracking + skip dup</t>
  </si>
  <si>
    <t xml:space="preserve">Combination Sum II</t>
  </si>
  <si>
    <t xml:space="preserve">Word Search</t>
  </si>
  <si>
    <t xml:space="preserve">DFS grid backtracking</t>
  </si>
  <si>
    <t xml:space="preserve">Palindrome Partitioning</t>
  </si>
  <si>
    <t xml:space="preserve">Backtracking + palindrome</t>
  </si>
  <si>
    <t xml:space="preserve">Letter Combinations of a Phone Number</t>
  </si>
  <si>
    <t xml:space="preserve">Backtracking map</t>
  </si>
  <si>
    <t xml:space="preserve">N Queens</t>
  </si>
  <si>
    <t xml:space="preserve">Backtracking + sets</t>
  </si>
  <si>
    <t xml:space="preserve">Graphs</t>
  </si>
  <si>
    <t xml:space="preserve">Number of Islands</t>
  </si>
  <si>
    <t xml:space="preserve">DFS/BFS flood fill</t>
  </si>
  <si>
    <t xml:space="preserve">Max Area of Island</t>
  </si>
  <si>
    <t xml:space="preserve">DFS area</t>
  </si>
  <si>
    <t xml:space="preserve">Clone Graph</t>
  </si>
  <si>
    <t xml:space="preserve">DFS/BFS + hash map</t>
  </si>
  <si>
    <t xml:space="preserve">Walls and Gates</t>
  </si>
  <si>
    <t xml:space="preserve">Multi-source BFS</t>
  </si>
  <si>
    <t xml:space="preserve">Rotting Oranges</t>
  </si>
  <si>
    <t xml:space="preserve">Pacific Atlantic Water Flow</t>
  </si>
  <si>
    <t xml:space="preserve">DFS from borders</t>
  </si>
  <si>
    <t xml:space="preserve">Surrounded Regions</t>
  </si>
  <si>
    <t xml:space="preserve">Course Schedule</t>
  </si>
  <si>
    <t xml:space="preserve">Topological sort / cycle</t>
  </si>
  <si>
    <t xml:space="preserve">Course Schedule II</t>
  </si>
  <si>
    <t xml:space="preserve">Topological order</t>
  </si>
  <si>
    <t xml:space="preserve">Graph Valid Tree</t>
  </si>
  <si>
    <t xml:space="preserve">Union-find / DFS</t>
  </si>
  <si>
    <t xml:space="preserve">Number of Connected Components</t>
  </si>
  <si>
    <t xml:space="preserve">Redundant Connection</t>
  </si>
  <si>
    <t xml:space="preserve">Union-find</t>
  </si>
  <si>
    <t xml:space="preserve">Word Ladder</t>
  </si>
  <si>
    <t xml:space="preserve">BFS word graph</t>
  </si>
  <si>
    <t xml:space="preserve">Advanced Graphs</t>
  </si>
  <si>
    <t xml:space="preserve">Reconstruct Itinerary</t>
  </si>
  <si>
    <t xml:space="preserve">Hierholzer Eulerian</t>
  </si>
  <si>
    <t xml:space="preserve">Min Cost to Connect All Points</t>
  </si>
  <si>
    <t xml:space="preserve">Prim MST</t>
  </si>
  <si>
    <t xml:space="preserve">Network Delay Time</t>
  </si>
  <si>
    <t xml:space="preserve">Dijkstra</t>
  </si>
  <si>
    <t xml:space="preserve">Swim in Rising Water</t>
  </si>
  <si>
    <t xml:space="preserve">Dijkstra / BS+DFS</t>
  </si>
  <si>
    <t xml:space="preserve">Alien Dictionary</t>
  </si>
  <si>
    <t xml:space="preserve">Topological sort</t>
  </si>
  <si>
    <t xml:space="preserve">Cheapest Flights Within K Stops</t>
  </si>
  <si>
    <t xml:space="preserve">Bellman-Ford</t>
  </si>
  <si>
    <t xml:space="preserve">1-D Dynamic Programming</t>
  </si>
  <si>
    <t xml:space="preserve">Climbing Stairs</t>
  </si>
  <si>
    <t xml:space="preserve">Fibonacci DP</t>
  </si>
  <si>
    <t xml:space="preserve">Min Cost Climbing Stairs</t>
  </si>
  <si>
    <t xml:space="preserve">DP</t>
  </si>
  <si>
    <t xml:space="preserve">House Robber</t>
  </si>
  <si>
    <t xml:space="preserve">DP pick/skip</t>
  </si>
  <si>
    <t xml:space="preserve">House Robber II</t>
  </si>
  <si>
    <t xml:space="preserve">DP circular</t>
  </si>
  <si>
    <t xml:space="preserve">Longest Palindromic Substring</t>
  </si>
  <si>
    <t xml:space="preserve">Expand center / DP</t>
  </si>
  <si>
    <t xml:space="preserve">Palindromic Substrings</t>
  </si>
  <si>
    <t xml:space="preserve">Decode Ways</t>
  </si>
  <si>
    <t xml:space="preserve">Coin Change</t>
  </si>
  <si>
    <t xml:space="preserve">Unbounded knapsack DP</t>
  </si>
  <si>
    <t xml:space="preserve">Maximum Product Subarray</t>
  </si>
  <si>
    <t xml:space="preserve">DP min/max track</t>
  </si>
  <si>
    <t xml:space="preserve">Word Break</t>
  </si>
  <si>
    <t xml:space="preserve">Longest Increasing Subsequence</t>
  </si>
  <si>
    <t xml:space="preserve">DP / patience BS</t>
  </si>
  <si>
    <t xml:space="preserve">Partition Equal Subset Sum</t>
  </si>
  <si>
    <t xml:space="preserve">0/1 knapsack DP</t>
  </si>
  <si>
    <t xml:space="preserve">2-D Dynamic Programming</t>
  </si>
  <si>
    <t xml:space="preserve">Unique Paths</t>
  </si>
  <si>
    <t xml:space="preserve">Grid DP</t>
  </si>
  <si>
    <t xml:space="preserve">Longest Common Subsequence</t>
  </si>
  <si>
    <t xml:space="preserve">2D DP</t>
  </si>
  <si>
    <t xml:space="preserve">Best Time to Buy/Sell Stock with Cooldown</t>
  </si>
  <si>
    <t xml:space="preserve">State machine DP</t>
  </si>
  <si>
    <t xml:space="preserve">Coin Change II</t>
  </si>
  <si>
    <t xml:space="preserve">Counting knapsack</t>
  </si>
  <si>
    <t xml:space="preserve">Target Sum</t>
  </si>
  <si>
    <t xml:space="preserve">Subset-sum DP</t>
  </si>
  <si>
    <t xml:space="preserve">Interleaving String</t>
  </si>
  <si>
    <t xml:space="preserve">Longest Increasing Path in a Matrix</t>
  </si>
  <si>
    <t xml:space="preserve">DFS + memo</t>
  </si>
  <si>
    <t xml:space="preserve">Distinct Subsequences</t>
  </si>
  <si>
    <t xml:space="preserve">Edit Distance</t>
  </si>
  <si>
    <t xml:space="preserve">Burst Balloons</t>
  </si>
  <si>
    <t xml:space="preserve">Interval DP</t>
  </si>
  <si>
    <t xml:space="preserve">Regular Expression Matching</t>
  </si>
  <si>
    <t xml:space="preserve">Greedy</t>
  </si>
  <si>
    <t xml:space="preserve">Maximum Subarray</t>
  </si>
  <si>
    <t xml:space="preserve">Kadane</t>
  </si>
  <si>
    <t xml:space="preserve">Jump Game</t>
  </si>
  <si>
    <t xml:space="preserve">Greedy reach</t>
  </si>
  <si>
    <t xml:space="preserve">Jump Game II</t>
  </si>
  <si>
    <t xml:space="preserve">Greedy BFS levels</t>
  </si>
  <si>
    <t xml:space="preserve">Gas Station</t>
  </si>
  <si>
    <t xml:space="preserve">Greedy total/tank</t>
  </si>
  <si>
    <t xml:space="preserve">Hand of Straights</t>
  </si>
  <si>
    <t xml:space="preserve">Greedy + count map</t>
  </si>
  <si>
    <t xml:space="preserve">Merge Triplets to Form Target Triplet</t>
  </si>
  <si>
    <t xml:space="preserve">Greedy filter</t>
  </si>
  <si>
    <t xml:space="preserve">Partition Labels</t>
  </si>
  <si>
    <t xml:space="preserve">Greedy last index</t>
  </si>
  <si>
    <t xml:space="preserve">Valid Parenthesis String</t>
  </si>
  <si>
    <t xml:space="preserve">Greedy range</t>
  </si>
  <si>
    <t xml:space="preserve">Intervals</t>
  </si>
  <si>
    <t xml:space="preserve">Insert Interval</t>
  </si>
  <si>
    <t xml:space="preserve">Interval merge</t>
  </si>
  <si>
    <t xml:space="preserve">Merge Intervals</t>
  </si>
  <si>
    <t xml:space="preserve">Sort + merge</t>
  </si>
  <si>
    <t xml:space="preserve">Non Overlapping Intervals</t>
  </si>
  <si>
    <t xml:space="preserve">Greedy sort by end</t>
  </si>
  <si>
    <t xml:space="preserve">Meeting Rooms</t>
  </si>
  <si>
    <t xml:space="preserve">Sort + overlap</t>
  </si>
  <si>
    <t xml:space="preserve">Meeting Rooms II</t>
  </si>
  <si>
    <t xml:space="preserve">Heap / sweep line</t>
  </si>
  <si>
    <t xml:space="preserve">Minimum Interval to Include Each Query</t>
  </si>
  <si>
    <t xml:space="preserve">Sort + heap</t>
  </si>
  <si>
    <t xml:space="preserve">Math &amp; Geometry</t>
  </si>
  <si>
    <t xml:space="preserve">Rotate Image</t>
  </si>
  <si>
    <t xml:space="preserve">Transpose + reverse</t>
  </si>
  <si>
    <t xml:space="preserve">Spiral Matrix</t>
  </si>
  <si>
    <t xml:space="preserve">Boundary traversal</t>
  </si>
  <si>
    <t xml:space="preserve">Set Matrix Zeroes</t>
  </si>
  <si>
    <t xml:space="preserve">In-place markers</t>
  </si>
  <si>
    <t xml:space="preserve">Happy Number</t>
  </si>
  <si>
    <t xml:space="preserve">Cycle detection</t>
  </si>
  <si>
    <t xml:space="preserve">Plus One</t>
  </si>
  <si>
    <t xml:space="preserve">Carry handling</t>
  </si>
  <si>
    <t xml:space="preserve">Pow(x, n)</t>
  </si>
  <si>
    <t xml:space="preserve">Fast exponentiation</t>
  </si>
  <si>
    <t xml:space="preserve">Multiply Strings</t>
  </si>
  <si>
    <t xml:space="preserve">Grade-school multiply</t>
  </si>
  <si>
    <t xml:space="preserve">Detect Squares</t>
  </si>
  <si>
    <t xml:space="preserve">Hash map count</t>
  </si>
  <si>
    <t xml:space="preserve">Bit Manipulation</t>
  </si>
  <si>
    <t xml:space="preserve">Single Number</t>
  </si>
  <si>
    <t xml:space="preserve">XOR</t>
  </si>
  <si>
    <t xml:space="preserve">Number of 1 Bits</t>
  </si>
  <si>
    <t xml:space="preserve">Bit counting</t>
  </si>
  <si>
    <t xml:space="preserve">Counting Bits</t>
  </si>
  <si>
    <t xml:space="preserve">DP + bits</t>
  </si>
  <si>
    <t xml:space="preserve">Reverse Bits</t>
  </si>
  <si>
    <t xml:space="preserve">Bit shifting</t>
  </si>
  <si>
    <t xml:space="preserve">Missing Number</t>
  </si>
  <si>
    <t xml:space="preserve">XOR / sum</t>
  </si>
  <si>
    <t xml:space="preserve">Sum of Two Integers</t>
  </si>
  <si>
    <t xml:space="preserve">Bitwise add</t>
  </si>
  <si>
    <t xml:space="preserve">Reverse Integer</t>
  </si>
  <si>
    <t xml:space="preserve">Overflow handling</t>
  </si>
  <si>
    <t xml:space="preserve">DSA Patterns — learn to RECOGNIZE the shape of a problem</t>
  </si>
  <si>
    <t xml:space="preserve">Pattern</t>
  </si>
  <si>
    <t xml:space="preserve">Recognize when…</t>
  </si>
  <si>
    <t xml:space="preserve">Key idea</t>
  </si>
  <si>
    <t xml:space="preserve">Example problems</t>
  </si>
  <si>
    <t xml:space="preserve">Sorted array, pair/triplet sums, palindrome checks</t>
  </si>
  <si>
    <t xml:space="preserve">Move L/R inward based on a condition; O(n) instead of O(n^2)</t>
  </si>
  <si>
    <t xml:space="preserve">Two Sum II, 3Sum, Container With Most Water</t>
  </si>
  <si>
    <t xml:space="preserve">Contiguous subarray/substring with a constraint (longest/shortest/k)</t>
  </si>
  <si>
    <t xml:space="preserve">Expand right, shrink left when constraint violated</t>
  </si>
  <si>
    <t xml:space="preserve">Longest Substring w/o Repeat, Min Window Substring</t>
  </si>
  <si>
    <t xml:space="preserve">Fast &amp; Slow Pointers</t>
  </si>
  <si>
    <t xml:space="preserve">Cycle detection, find middle, nth-from-end in linked list</t>
  </si>
  <si>
    <t xml:space="preserve">Two pointers at different speeds</t>
  </si>
  <si>
    <t xml:space="preserve">Linked List Cycle, Find Duplicate, Reorder List</t>
  </si>
  <si>
    <t xml:space="preserve">Hash Map / Set</t>
  </si>
  <si>
    <t xml:space="preserve">Need O(1) lookup, counting, complement, dedup</t>
  </si>
  <si>
    <t xml:space="preserve">Trade space for time</t>
  </si>
  <si>
    <t xml:space="preserve">Two Sum, Group Anagrams, Longest Consecutive</t>
  </si>
  <si>
    <t xml:space="preserve">Monotonic Stack</t>
  </si>
  <si>
    <t xml:space="preserve">Next greater/smaller element, histogram, spans</t>
  </si>
  <si>
    <t xml:space="preserve">Maintain increasing/decreasing stack</t>
  </si>
  <si>
    <t xml:space="preserve">Daily Temperatures, Largest Rectangle</t>
  </si>
  <si>
    <t xml:space="preserve">Sorted input OR monotonic answer space (min/max feasible value)</t>
  </si>
  <si>
    <t xml:space="preserve">Halve search space each step; 'BS on answer'</t>
  </si>
  <si>
    <t xml:space="preserve">Koko Bananas, Search Rotated, Median Two Arrays</t>
  </si>
  <si>
    <t xml:space="preserve">BFS</t>
  </si>
  <si>
    <t xml:space="preserve">Shortest path in unweighted graph/grid, level-order</t>
  </si>
  <si>
    <t xml:space="preserve">Queue, process layer by layer</t>
  </si>
  <si>
    <t xml:space="preserve">Rotting Oranges, Word Ladder, Level Order</t>
  </si>
  <si>
    <t xml:space="preserve">DFS / Backtracking</t>
  </si>
  <si>
    <t xml:space="preserve">Explore all paths, combinations, permutations, subsets</t>
  </si>
  <si>
    <t xml:space="preserve">Recurse, choose, explore, un-choose</t>
  </si>
  <si>
    <t xml:space="preserve">Subsets, Combination Sum, Word Search, N-Queens</t>
  </si>
  <si>
    <t xml:space="preserve">Topological Sort</t>
  </si>
  <si>
    <t xml:space="preserve">Dependency ordering in a DAG, cycle detection in directed graph</t>
  </si>
  <si>
    <t xml:space="preserve">Kahn's (indegree+queue) or DFS post-order</t>
  </si>
  <si>
    <t xml:space="preserve">Course Schedule I/II, Alien Dictionary</t>
  </si>
  <si>
    <t xml:space="preserve">Union-Find (DSU)</t>
  </si>
  <si>
    <t xml:space="preserve">Connectivity, grouping, cycle detection in undirected graph</t>
  </si>
  <si>
    <t xml:space="preserve">Path compression + union by rank</t>
  </si>
  <si>
    <t xml:space="preserve">Connected Components, Redundant Connection</t>
  </si>
  <si>
    <t xml:space="preserve">Top-K, running median, merge-K, scheduling</t>
  </si>
  <si>
    <t xml:space="preserve">Min/max heap for partial ordering</t>
  </si>
  <si>
    <t xml:space="preserve">Top K Frequent, Merge K Lists, Find Median Stream</t>
  </si>
  <si>
    <t xml:space="preserve">Dynamic Programming</t>
  </si>
  <si>
    <t xml:space="preserve">Optimal substructure + overlapping subproblems; 'count ways' / 'min/max'</t>
  </si>
  <si>
    <t xml:space="preserve">Define state, recurrence, base case; memo or tabulate</t>
  </si>
  <si>
    <t xml:space="preserve">Coin Change, House Robber, LCS, Edit Distance</t>
  </si>
  <si>
    <t xml:space="preserve">Local optimal choice leads to global optimum; often after sorting</t>
  </si>
  <si>
    <t xml:space="preserve">Prove exchange argument; sort then sweep</t>
  </si>
  <si>
    <t xml:space="preserve">Jump Game, Merge Intervals, Partition Labels</t>
  </si>
  <si>
    <t xml:space="preserve">Overlapping ranges, scheduling, merging</t>
  </si>
  <si>
    <t xml:space="preserve">Sort by start/end, then sweep</t>
  </si>
  <si>
    <t xml:space="preserve">Merge Intervals, Meeting Rooms II</t>
  </si>
  <si>
    <t xml:space="preserve">Prefix Sum</t>
  </si>
  <si>
    <t xml:space="preserve">Range sums/products, subarray with target</t>
  </si>
  <si>
    <t xml:space="preserve">Precompute cumulative array</t>
  </si>
  <si>
    <t xml:space="preserve">Product Except Self, Range Sum queries</t>
  </si>
  <si>
    <t xml:space="preserve">Trie</t>
  </si>
  <si>
    <t xml:space="preserve">Prefix queries, word dictionaries, autocomplete</t>
  </si>
  <si>
    <t xml:space="preserve">Tree of character nodes</t>
  </si>
  <si>
    <t xml:space="preserve">Implement Trie, Word Search II</t>
  </si>
  <si>
    <t xml:space="preserve">XOR tricks, single element, subset enumeration</t>
  </si>
  <si>
    <t xml:space="preserve">XOR cancels pairs; bitmask for subsets</t>
  </si>
  <si>
    <t xml:space="preserve">Single Number, Counting Bits, Subsets via bitmask</t>
  </si>
  <si>
    <t xml:space="preserve">System Design — core building blocks for SDE-2</t>
  </si>
  <si>
    <t xml:space="preserve">Topic</t>
  </si>
  <si>
    <t xml:space="preserve">What to know</t>
  </si>
  <si>
    <t xml:space="preserve">Free Resource</t>
  </si>
  <si>
    <t xml:space="preserve">Link</t>
  </si>
  <si>
    <t xml:space="preserve">Interview framework</t>
  </si>
  <si>
    <t xml:space="preserve">Requirements -&gt; estimates -&gt; API -&gt; high-level design -&gt; deep dive -&gt; bottlenecks. Drive the conversation.</t>
  </si>
  <si>
    <t xml:space="preserve">Hello Interview: SD in a Hurry</t>
  </si>
  <si>
    <t xml:space="preserve">Open</t>
  </si>
  <si>
    <t xml:space="preserve">Back-of-envelope estimation</t>
  </si>
  <si>
    <t xml:space="preserve">QPS, storage, bandwidth, memory; powers of 2, latency numbers every dev should know</t>
  </si>
  <si>
    <t xml:space="preserve">System Design Primer (Appendix)</t>
  </si>
  <si>
    <t xml:space="preserve">Scaling fundamentals</t>
  </si>
  <si>
    <t xml:space="preserve">Vertical vs horizontal scaling, stateless services, scaling reads vs writes</t>
  </si>
  <si>
    <t xml:space="preserve">System Design Primer</t>
  </si>
  <si>
    <t xml:space="preserve">Load balancing</t>
  </si>
  <si>
    <t xml:space="preserve">L4 vs L7, algorithms (round robin, least conn, consistent hashing), health checks</t>
  </si>
  <si>
    <t xml:space="preserve">System Design Primer: LB</t>
  </si>
  <si>
    <t xml:space="preserve">Caching</t>
  </si>
  <si>
    <t xml:space="preserve">Cache-aside/write-through/write-back, eviction (LRU/LFU), TTL, Redis/Memcached, thundering herd</t>
  </si>
  <si>
    <t xml:space="preserve">System Design Primer: Cache</t>
  </si>
  <si>
    <t xml:space="preserve">Databases: SQL vs NoSQL</t>
  </si>
  <si>
    <t xml:space="preserve">When to pick relational vs document/KV/wide-column/graph; access patterns drive choice</t>
  </si>
  <si>
    <t xml:space="preserve">System Design Primer: DB</t>
  </si>
  <si>
    <t xml:space="preserve">Replication &amp; partitioning</t>
  </si>
  <si>
    <t xml:space="preserve">Leader-follower, multi-leader, sharding strategies, consistent hashing, hot partitions</t>
  </si>
  <si>
    <t xml:space="preserve">DDIA (book) ch.5-6 / ByteByteGo</t>
  </si>
  <si>
    <t xml:space="preserve">CAP &amp; consistency models</t>
  </si>
  <si>
    <t xml:space="preserve">CAP/PACELC, strong vs eventual consistency, quorum (R+W&gt;N)</t>
  </si>
  <si>
    <t xml:space="preserve">System Design Primer: CAP</t>
  </si>
  <si>
    <t xml:space="preserve">Message queues &amp; streaming</t>
  </si>
  <si>
    <t xml:space="preserve">Kafka/RabbitMQ, pub-sub, at-least/at-most/exactly-once, backpressure, decoupling</t>
  </si>
  <si>
    <t xml:space="preserve">ByteByteGo / Kafka docs</t>
  </si>
  <si>
    <t xml:space="preserve">Indexing</t>
  </si>
  <si>
    <t xml:space="preserve">B-tree vs LSM-tree, composite indexes, when indexes hurt writes</t>
  </si>
  <si>
    <t xml:space="preserve">DDIA ch.3 / Use The Index, Luke</t>
  </si>
  <si>
    <t xml:space="preserve">Rate limiting</t>
  </si>
  <si>
    <t xml:space="preserve">Token bucket, leaky bucket, fixed/sliding window; distributed rate limiting</t>
  </si>
  <si>
    <t xml:space="preserve">Hello Interview / ByteByteGo</t>
  </si>
  <si>
    <t xml:space="preserve">CDN &amp; content delivery</t>
  </si>
  <si>
    <t xml:space="preserve">Edge caching, push vs pull, static asset offload</t>
  </si>
  <si>
    <t xml:space="preserve">System Design Primer: CDN</t>
  </si>
  <si>
    <t xml:space="preserve">API design</t>
  </si>
  <si>
    <t xml:space="preserve">REST vs gRPC vs GraphQL, pagination, idempotency, versioning, rate limits</t>
  </si>
  <si>
    <t xml:space="preserve">System Design Primer: API</t>
  </si>
  <si>
    <t xml:space="preserve">Microservices vs monolith</t>
  </si>
  <si>
    <t xml:space="preserve">Service boundaries, API gateway, service discovery, saga pattern, when NOT to split</t>
  </si>
  <si>
    <t xml:space="preserve">microservices.io</t>
  </si>
  <si>
    <t xml:space="preserve">Idempotency &amp; dedup</t>
  </si>
  <si>
    <t xml:space="preserve">Idempotency keys, exactly-once illusion, retries safely</t>
  </si>
  <si>
    <t xml:space="preserve">Stripe idempotency blog</t>
  </si>
  <si>
    <t xml:space="preserve">Observability</t>
  </si>
  <si>
    <t xml:space="preserve">Metrics/logs/traces, SLO/SLI/SLA, alerting, the 4 golden signals</t>
  </si>
  <si>
    <t xml:space="preserve">Google SRE Book</t>
  </si>
  <si>
    <t xml:space="preserve">Concurrency at scale</t>
  </si>
  <si>
    <t xml:space="preserve">Locks vs lock-free, optimistic concurrency, distributed locks (Redlock caveats)</t>
  </si>
  <si>
    <t xml:space="preserve">Martin Kleppmann Redlock post</t>
  </si>
  <si>
    <t xml:space="preserve">System Design — practice scenarios (do Tier 1 &amp; 2 first)</t>
  </si>
  <si>
    <t xml:space="preserve">Scenario</t>
  </si>
  <si>
    <t xml:space="preserve">Topics it tests</t>
  </si>
  <si>
    <t xml:space="preserve">Design a URL shortener (TinyURL)</t>
  </si>
  <si>
    <t xml:space="preserve">ID generation, KV store, caching, redirect, base62</t>
  </si>
  <si>
    <t xml:space="preserve">Design a rate limiter</t>
  </si>
  <si>
    <t xml:space="preserve">Token bucket, distributed counters, Redis</t>
  </si>
  <si>
    <t xml:space="preserve">Design a key-value store / cache</t>
  </si>
  <si>
    <t xml:space="preserve">Consistent hashing, replication, eviction</t>
  </si>
  <si>
    <t xml:space="preserve">Design a notification / messaging system</t>
  </si>
  <si>
    <t xml:space="preserve">Queues, fan-out, push vs pull, delivery guarantees</t>
  </si>
  <si>
    <t xml:space="preserve">Design a news feed (Twitter/Instagram)</t>
  </si>
  <si>
    <t xml:space="preserve">Fan-out on write vs read, feed ranking, caching</t>
  </si>
  <si>
    <t xml:space="preserve">Design a chat system (WhatsApp/Slack)</t>
  </si>
  <si>
    <t xml:space="preserve">WebSockets, presence, message ordering, storage</t>
  </si>
  <si>
    <t xml:space="preserve">Design a web crawler</t>
  </si>
  <si>
    <t xml:space="preserve">BFS frontier, dedup, politeness, distributed workers</t>
  </si>
  <si>
    <t xml:space="preserve">Design a typeahead / autocomplete</t>
  </si>
  <si>
    <t xml:space="preserve">Trie, top-K, caching, prefix sharding</t>
  </si>
  <si>
    <t xml:space="preserve">Design a file storage / Dropbox</t>
  </si>
  <si>
    <t xml:space="preserve">Chunking, metadata, sync, dedup</t>
  </si>
  <si>
    <t xml:space="preserve">Design a ride-sharing service (Uber)</t>
  </si>
  <si>
    <t xml:space="preserve">Geospatial index (geohash/quadtree), matching, ETA</t>
  </si>
  <si>
    <t xml:space="preserve">Design a payment system</t>
  </si>
  <si>
    <t xml:space="preserve">Idempotency, double-entry ledger, consistency, reconciliation</t>
  </si>
  <si>
    <t xml:space="preserve">Design YouTube / video streaming</t>
  </si>
  <si>
    <t xml:space="preserve">CDN, transcoding pipeline, blob storage, adaptive bitrate</t>
  </si>
  <si>
    <t xml:space="preserve">Design a distributed job scheduler</t>
  </si>
  <si>
    <t xml:space="preserve">Leader election, queues, retries, exactly-once</t>
  </si>
  <si>
    <t xml:space="preserve">Design a ticket booking system</t>
  </si>
  <si>
    <t xml:space="preserve">Concurrency, locking inventory, payment, overselling</t>
  </si>
  <si>
    <t xml:space="preserve">CS Fundamentals — frequently probed in SDE-2 rounds</t>
  </si>
  <si>
    <t xml:space="preserve">Area</t>
  </si>
  <si>
    <t xml:space="preserve">Key points</t>
  </si>
  <si>
    <t xml:space="preserve">Operating Systems</t>
  </si>
  <si>
    <t xml:space="preserve">Process vs thread</t>
  </si>
  <si>
    <t xml:space="preserve">Address space, context switch cost, when to use threads vs processes</t>
  </si>
  <si>
    <t xml:space="preserve">OSTEP (free book)</t>
  </si>
  <si>
    <t xml:space="preserve">Concurrency primitives</t>
  </si>
  <si>
    <t xml:space="preserve">Mutex, semaphore, condition variable, deadlock (4 conditions), starvation</t>
  </si>
  <si>
    <t xml:space="preserve">OSTEP: Concurrency</t>
  </si>
  <si>
    <t xml:space="preserve">Scheduling</t>
  </si>
  <si>
    <t xml:space="preserve">FCFS, round robin, priority, MLFQ; preemption</t>
  </si>
  <si>
    <t xml:space="preserve">OSTEP: Scheduling</t>
  </si>
  <si>
    <t xml:space="preserve">Memory management</t>
  </si>
  <si>
    <t xml:space="preserve">Virtual memory, paging, TLB, page faults, segmentation</t>
  </si>
  <si>
    <t xml:space="preserve">OSTEP: VM</t>
  </si>
  <si>
    <t xml:space="preserve">Synchronization problems</t>
  </si>
  <si>
    <t xml:space="preserve">Producer-consumer, readers-writers, dining philosophers</t>
  </si>
  <si>
    <t xml:space="preserve">OSTEP</t>
  </si>
  <si>
    <t xml:space="preserve">Networking</t>
  </si>
  <si>
    <t xml:space="preserve">OSI / TCP-IP model</t>
  </si>
  <si>
    <t xml:space="preserve">Layers and what lives where; encapsulation</t>
  </si>
  <si>
    <t xml:space="preserve">Kurose &amp; Ross site</t>
  </si>
  <si>
    <t xml:space="preserve">TCP vs UDP</t>
  </si>
  <si>
    <t xml:space="preserve">Handshake, reliability, ordering, flow/congestion control; when to use each</t>
  </si>
  <si>
    <t xml:space="preserve">Kurose &amp; Ross</t>
  </si>
  <si>
    <t xml:space="preserve">HTTP/HTTPS</t>
  </si>
  <si>
    <t xml:space="preserve">Methods, status codes, HTTP/1.1 vs 2 vs 3, TLS handshake, keep-alive</t>
  </si>
  <si>
    <t xml:space="preserve">MDN HTTP</t>
  </si>
  <si>
    <t xml:space="preserve">DNS</t>
  </si>
  <si>
    <t xml:space="preserve">Resolution flow, recursive vs iterative, caching, records</t>
  </si>
  <si>
    <t xml:space="preserve">Cloudflare Learning</t>
  </si>
  <si>
    <t xml:space="preserve">What happens when you type a URL</t>
  </si>
  <si>
    <t xml:space="preserve">End-to-end: DNS -&gt; TCP -&gt; TLS -&gt; HTTP -&gt; render. Classic interview Q</t>
  </si>
  <si>
    <t xml:space="preserve">alex/what-happens GitHub</t>
  </si>
  <si>
    <t xml:space="preserve">Databases</t>
  </si>
  <si>
    <t xml:space="preserve">ACID &amp; transactions</t>
  </si>
  <si>
    <t xml:space="preserve">Atomicity, consistency, isolation, durability; why each matters</t>
  </si>
  <si>
    <t xml:space="preserve">DDIA ch.7 / GfG</t>
  </si>
  <si>
    <t xml:space="preserve">Isolation levels</t>
  </si>
  <si>
    <t xml:space="preserve">Read uncommitted/committed, repeatable read, serializable; anomalies</t>
  </si>
  <si>
    <t xml:space="preserve">PostgreSQL docs</t>
  </si>
  <si>
    <t xml:space="preserve">Indexing &amp; query plans</t>
  </si>
  <si>
    <t xml:space="preserve">B-tree indexes, covering index, EXPLAIN, when index hurts</t>
  </si>
  <si>
    <t xml:space="preserve">Use The Index, Luke</t>
  </si>
  <si>
    <t xml:space="preserve">Normalization</t>
  </si>
  <si>
    <t xml:space="preserve">1NF-3NF, denormalization trade-offs for read perf</t>
  </si>
  <si>
    <t xml:space="preserve">GeeksforGeeks</t>
  </si>
  <si>
    <t xml:space="preserve">Locking &amp; MVCC</t>
  </si>
  <si>
    <t xml:space="preserve">Pessimistic vs optimistic, row vs table locks, deadlocks</t>
  </si>
  <si>
    <t xml:space="preserve">DDIA ch.7</t>
  </si>
  <si>
    <t xml:space="preserve">Concurrency</t>
  </si>
  <si>
    <t xml:space="preserve">Race conditions &amp; atomicity</t>
  </si>
  <si>
    <t xml:space="preserve">Critical sections, atomic ops, memory visibility</t>
  </si>
  <si>
    <t xml:space="preserve">Jenkov Concurrency</t>
  </si>
  <si>
    <t xml:space="preserve">Locks &amp; lock-free</t>
  </si>
  <si>
    <t xml:space="preserve">Spinlocks, CAS, lock contention, false sharing</t>
  </si>
  <si>
    <t xml:space="preserve">Thread pools &amp; async</t>
  </si>
  <si>
    <t xml:space="preserve">Executor model, blocking vs non-blocking, event loop</t>
  </si>
  <si>
    <t xml:space="preserve">Jenkov / language docs</t>
  </si>
  <si>
    <t xml:space="preserve">Complexity</t>
  </si>
  <si>
    <t xml:space="preserve">Big-O analysis</t>
  </si>
  <si>
    <t xml:space="preserve">Time &amp; space, amortized analysis, common complexities, recurrence (Master theorem)</t>
  </si>
  <si>
    <t xml:space="preserve">Big-O Cheat Sheet</t>
  </si>
  <si>
    <t xml:space="preserve">Low-Level Design &amp; OOD — common SDE-2 design round</t>
  </si>
  <si>
    <t xml:space="preserve">OOP fundamentals</t>
  </si>
  <si>
    <t xml:space="preserve">Encapsulation, abstraction, inheritance, polymorphism; composition over inheritance</t>
  </si>
  <si>
    <t xml:space="preserve">Refactoring Guru</t>
  </si>
  <si>
    <t xml:space="preserve">SOLID principles</t>
  </si>
  <si>
    <t xml:space="preserve">SRP, OCP, LSP, ISP, DIP with concrete code examples</t>
  </si>
  <si>
    <t xml:space="preserve">Refactoring Guru / GfG</t>
  </si>
  <si>
    <t xml:space="preserve">Design patterns: Creational</t>
  </si>
  <si>
    <t xml:space="preserve">Factory, Abstract Factory, Builder, Singleton, Prototype</t>
  </si>
  <si>
    <t xml:space="preserve">Design patterns: Structural</t>
  </si>
  <si>
    <t xml:space="preserve">Adapter, Decorator, Facade, Proxy, Composite</t>
  </si>
  <si>
    <t xml:space="preserve">Design patterns: Behavioral</t>
  </si>
  <si>
    <t xml:space="preserve">Strategy, Observer, State, Command, Iterator</t>
  </si>
  <si>
    <t xml:space="preserve">LLD: Parking lot</t>
  </si>
  <si>
    <t xml:space="preserve">Classic OOD: classes, enums, interfaces, extensibility</t>
  </si>
  <si>
    <t xml:space="preserve">awesome-low-level-design</t>
  </si>
  <si>
    <t xml:space="preserve">LLD: Elevator system</t>
  </si>
  <si>
    <t xml:space="preserve">State machine, scheduling, concurrency</t>
  </si>
  <si>
    <t xml:space="preserve">LLD: Library / BookMyShow</t>
  </si>
  <si>
    <t xml:space="preserve">Entities, relationships, concurrency on booking</t>
  </si>
  <si>
    <t xml:space="preserve">LLD: Rate limiter / Logger / Cache (LRU)</t>
  </si>
  <si>
    <t xml:space="preserve">Common LLD rounds at SDE-2 level</t>
  </si>
  <si>
    <t xml:space="preserve">UML basics</t>
  </si>
  <si>
    <t xml:space="preserve">Class diagrams, relationships (assoc/aggregation/composition), sequence diagrams</t>
  </si>
  <si>
    <t xml:space="preserve">Behavioral — SDE-2 = ownership, influence, judgment</t>
  </si>
  <si>
    <t xml:space="preserve">Theme</t>
  </si>
  <si>
    <t xml:space="preserve">What they assess</t>
  </si>
  <si>
    <t xml:space="preserve">Prep tip</t>
  </si>
  <si>
    <t xml:space="preserve">Resource</t>
  </si>
  <si>
    <t xml:space="preserve">My story (1-2 lines)</t>
  </si>
  <si>
    <t xml:space="preserve">STAR method</t>
  </si>
  <si>
    <t xml:space="preserve">Structured storytelling: Situation, Task, Action, Result</t>
  </si>
  <si>
    <t xml:space="preserve">Prep 8-10 stories mapped to multiple themes; quantify Results</t>
  </si>
  <si>
    <t xml:space="preserve">The Muse: STAR</t>
  </si>
  <si>
    <t xml:space="preserve">Ownership / impact</t>
  </si>
  <si>
    <t xml:space="preserve">Did you drive outcomes beyond your scope?</t>
  </si>
  <si>
    <t xml:space="preserve">Have a story where you owned a problem end-to-end</t>
  </si>
  <si>
    <t xml:space="preserve">Levels.fyi behavioral guide</t>
  </si>
  <si>
    <t xml:space="preserve">Conflict / disagreement</t>
  </si>
  <si>
    <t xml:space="preserve">How you handle disagreement with peers/managers</t>
  </si>
  <si>
    <t xml:space="preserve">Show data-driven resolution, not ego</t>
  </si>
  <si>
    <t xml:space="preserve">-</t>
  </si>
  <si>
    <t xml:space="preserve">Failure / mistake</t>
  </si>
  <si>
    <t xml:space="preserve">Self-awareness and learning</t>
  </si>
  <si>
    <t xml:space="preserve">Pick a real failure + concrete lesson + what changed after</t>
  </si>
  <si>
    <t xml:space="preserve">Dealing with ambiguity</t>
  </si>
  <si>
    <t xml:space="preserve">Decision-making with incomplete info</t>
  </si>
  <si>
    <t xml:space="preserve">Show how you scoped, prioritized, and unblocked yourself</t>
  </si>
  <si>
    <t xml:space="preserve">Mentorship / leadership</t>
  </si>
  <si>
    <t xml:space="preserve">Senior signal: do you lift others?</t>
  </si>
  <si>
    <t xml:space="preserve">SDE-2 expects influence beyond own code</t>
  </si>
  <si>
    <t xml:space="preserve">Project deep-dive</t>
  </si>
  <si>
    <t xml:space="preserve">Technical depth on something you built</t>
  </si>
  <si>
    <t xml:space="preserve">Be ready to whiteboard YOUR system's architecture &amp; trade-offs</t>
  </si>
  <si>
    <t xml:space="preserve">Why this company / role</t>
  </si>
  <si>
    <t xml:space="preserve">Motivation and fit</t>
  </si>
  <si>
    <t xml:space="preserve">Tie to specifics, not generic praise</t>
  </si>
  <si>
    <t xml:space="preserve">Master Resource List (free unless marked otherwise)</t>
  </si>
  <si>
    <t xml:space="preserve">Type</t>
  </si>
  <si>
    <t xml:space="preserve">Cost</t>
  </si>
  <si>
    <t xml:space="preserve">DSA</t>
  </si>
  <si>
    <t xml:space="preserve">NeetCode 150 (practice + videos)</t>
  </si>
  <si>
    <t xml:space="preserve">Practice/Video</t>
  </si>
  <si>
    <t xml:space="preserve">Free</t>
  </si>
  <si>
    <t xml:space="preserve">NeetCode Roadmap</t>
  </si>
  <si>
    <t xml:space="preserve">Roadmap</t>
  </si>
  <si>
    <t xml:space="preserve">LeetCode</t>
  </si>
  <si>
    <t xml:space="preserve">Practice</t>
  </si>
  <si>
    <t xml:space="preserve">Free (Premium paid)</t>
  </si>
  <si>
    <t xml:space="preserve">Reference</t>
  </si>
  <si>
    <t xml:space="preserve">AlgoMonster patterns</t>
  </si>
  <si>
    <t xml:space="preserve">Freemium</t>
  </si>
  <si>
    <t xml:space="preserve">Tech Interview Handbook</t>
  </si>
  <si>
    <t xml:space="preserve">Guide</t>
  </si>
  <si>
    <t xml:space="preserve">Grokking Coding Interview Patterns</t>
  </si>
  <si>
    <t xml:space="preserve">Course</t>
  </si>
  <si>
    <t xml:space="preserve">Paid</t>
  </si>
  <si>
    <t xml:space="preserve">System Design</t>
  </si>
  <si>
    <t xml:space="preserve">Repo/Guide</t>
  </si>
  <si>
    <t xml:space="preserve">Hello Interview - System Design</t>
  </si>
  <si>
    <t xml:space="preserve">Guide/Video</t>
  </si>
  <si>
    <t xml:space="preserve">ByteByteGo Blog (Alex Xu)</t>
  </si>
  <si>
    <t xml:space="preserve">Blog</t>
  </si>
  <si>
    <t xml:space="preserve">Gaurav Sen (YouTube)</t>
  </si>
  <si>
    <t xml:space="preserve">Video</t>
  </si>
  <si>
    <t xml:space="preserve">High Scalability</t>
  </si>
  <si>
    <t xml:space="preserve">System Design Interview Vol 1 &amp; 2 (Alex Xu)</t>
  </si>
  <si>
    <t xml:space="preserve">Book</t>
  </si>
  <si>
    <t xml:space="preserve">Microservices.io patterns</t>
  </si>
  <si>
    <t xml:space="preserve">Book (online)</t>
  </si>
  <si>
    <t xml:space="preserve">Fundamentals</t>
  </si>
  <si>
    <t xml:space="preserve">Designing Data-Intensive Applications (DDIA)</t>
  </si>
  <si>
    <t xml:space="preserve">OSTEP - OS in Three Easy Pieces</t>
  </si>
  <si>
    <t xml:space="preserve">Kurose &amp; Ross - Computer Networking</t>
  </si>
  <si>
    <t xml:space="preserve">Book/Resources</t>
  </si>
  <si>
    <t xml:space="preserve">Free resources</t>
  </si>
  <si>
    <t xml:space="preserve">MDN HTTP docs</t>
  </si>
  <si>
    <t xml:space="preserve">Use The Index, Luke (SQL indexing)</t>
  </si>
  <si>
    <t xml:space="preserve">Jenkov Java Concurrency</t>
  </si>
  <si>
    <t xml:space="preserve">Tutorial</t>
  </si>
  <si>
    <t xml:space="preserve">what-happens-when (URL -&gt; render)</t>
  </si>
  <si>
    <t xml:space="preserve">Repo</t>
  </si>
  <si>
    <t xml:space="preserve">LLD / OOD</t>
  </si>
  <si>
    <t xml:space="preserve">Refactoring Guru (patterns + SOLID)</t>
  </si>
  <si>
    <t xml:space="preserve">low-level-design-primer</t>
  </si>
  <si>
    <t xml:space="preserve">Behavioral</t>
  </si>
  <si>
    <t xml:space="preserve">Tech Interview Handbook - Behavioral</t>
  </si>
  <si>
    <t xml:space="preserve">STAR method (The Muse)</t>
  </si>
  <si>
    <t xml:space="preserve">Article</t>
  </si>
  <si>
    <t xml:space="preserve">General</t>
  </si>
  <si>
    <t xml:space="preserve">Levels.fyi (comp + leveling)</t>
  </si>
  <si>
    <t xml:space="preserve">Pramp / interviewing.io (mock interviews)</t>
  </si>
  <si>
    <t xml:space="preserve">Mock</t>
  </si>
  <si>
    <t xml:space="preserve">Progress Dashboard</t>
  </si>
  <si>
    <t xml:space="preserve">NeetCode 150 — Overall</t>
  </si>
  <si>
    <t xml:space="preserve">Total problems</t>
  </si>
  <si>
    <t xml:space="preserve">Solved</t>
  </si>
  <si>
    <t xml:space="preserve">In Progress</t>
  </si>
  <si>
    <t xml:space="preserve">Needs Review</t>
  </si>
  <si>
    <t xml:space="preserve">% Complete</t>
  </si>
  <si>
    <t xml:space="preserve">Interview-ready (Conf 4-5)</t>
  </si>
  <si>
    <t xml:space="preserve">By Tier — Solved / Total</t>
  </si>
  <si>
    <t xml:space="preserve">Total</t>
  </si>
  <si>
    <t xml:space="preserve">% Done</t>
  </si>
  <si>
    <t xml:space="preserve">By Category — Solved /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</si>
</sst>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AF0FA"/>
      </patternFill>
    </fill>
    <fill>
      <patternFill patternType="solid">
        <fgColor rgb="FFE2EFDA"/>
        <bgColor rgb="FFEAF0FA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EAF0FA"/>
        <bgColor rgb="FFF2F2F2"/>
      </patternFill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0FA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contains-duplicate/" TargetMode="External"/><Relationship Id="rId2" Type="http://schemas.openxmlformats.org/officeDocument/2006/relationships/hyperlink" Target="https://leetcode.com/problems/valid-anagram/" TargetMode="External"/><Relationship Id="rId3" Type="http://schemas.openxmlformats.org/officeDocument/2006/relationships/hyperlink" Target="https://leetcode.com/problems/two-sum/" TargetMode="External"/><Relationship Id="rId4" Type="http://schemas.openxmlformats.org/officeDocument/2006/relationships/hyperlink" Target="https://leetcode.com/problems/group-anagrams/" TargetMode="External"/><Relationship Id="rId5" Type="http://schemas.openxmlformats.org/officeDocument/2006/relationships/hyperlink" Target="https://leetcode.com/problems/top-k-frequent-elements/" TargetMode="External"/><Relationship Id="rId6" Type="http://schemas.openxmlformats.org/officeDocument/2006/relationships/hyperlink" Target="https://leetcode.com/problems/encode-and-decode-strings/" TargetMode="External"/><Relationship Id="rId7" Type="http://schemas.openxmlformats.org/officeDocument/2006/relationships/hyperlink" Target="https://leetcode.com/problems/product-of-array-except-self/" TargetMode="External"/><Relationship Id="rId8" Type="http://schemas.openxmlformats.org/officeDocument/2006/relationships/hyperlink" Target="https://leetcode.com/problems/valid-sudoku/" TargetMode="External"/><Relationship Id="rId9" Type="http://schemas.openxmlformats.org/officeDocument/2006/relationships/hyperlink" Target="https://leetcode.com/problems/longest-consecutive-sequence/" TargetMode="External"/><Relationship Id="rId10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leetcode.com/problems/two-sum-ii-input-array-is-sorted/" TargetMode="External"/><Relationship Id="rId12" Type="http://schemas.openxmlformats.org/officeDocument/2006/relationships/hyperlink" Target="https://leetcode.com/problems/3sum/" TargetMode="External"/><Relationship Id="rId13" Type="http://schemas.openxmlformats.org/officeDocument/2006/relationships/hyperlink" Target="https://leetcode.com/problems/container-with-most-water/" TargetMode="External"/><Relationship Id="rId14" Type="http://schemas.openxmlformats.org/officeDocument/2006/relationships/hyperlink" Target="https://leetcode.com/problems/trapping-rain-water/" TargetMode="External"/><Relationship Id="rId15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longest-substring-without-repeating-characters/" TargetMode="External"/><Relationship Id="rId17" Type="http://schemas.openxmlformats.org/officeDocument/2006/relationships/hyperlink" Target="https://leetcode.com/problems/longest-repeating-character-replacement/" TargetMode="External"/><Relationship Id="rId18" Type="http://schemas.openxmlformats.org/officeDocument/2006/relationships/hyperlink" Target="https://leetcode.com/problems/permutation-in-string/" TargetMode="External"/><Relationship Id="rId19" Type="http://schemas.openxmlformats.org/officeDocument/2006/relationships/hyperlink" Target="https://leetcode.com/problems/minimum-window-substring/" TargetMode="External"/><Relationship Id="rId20" Type="http://schemas.openxmlformats.org/officeDocument/2006/relationships/hyperlink" Target="https://leetcode.com/problems/sliding-window-maximum/" TargetMode="External"/><Relationship Id="rId21" Type="http://schemas.openxmlformats.org/officeDocument/2006/relationships/hyperlink" Target="https://leetcode.com/problems/valid-parentheses/" TargetMode="External"/><Relationship Id="rId22" Type="http://schemas.openxmlformats.org/officeDocument/2006/relationships/hyperlink" Target="https://leetcode.com/problems/min-stack/" TargetMode="External"/><Relationship Id="rId23" Type="http://schemas.openxmlformats.org/officeDocument/2006/relationships/hyperlink" Target="https://leetcode.com/problems/evaluate-reverse-polish-notation/" TargetMode="External"/><Relationship Id="rId24" Type="http://schemas.openxmlformats.org/officeDocument/2006/relationships/hyperlink" Target="https://leetcode.com/problems/generate-parentheses/" TargetMode="External"/><Relationship Id="rId25" Type="http://schemas.openxmlformats.org/officeDocument/2006/relationships/hyperlink" Target="https://leetcode.com/problems/daily-temperatures/" TargetMode="External"/><Relationship Id="rId26" Type="http://schemas.openxmlformats.org/officeDocument/2006/relationships/hyperlink" Target="https://leetcode.com/problems/car-fleet/" TargetMode="External"/><Relationship Id="rId27" Type="http://schemas.openxmlformats.org/officeDocument/2006/relationships/hyperlink" Target="https://leetcode.com/problems/largest-rectangle-in-histogram/" TargetMode="External"/><Relationship Id="rId28" Type="http://schemas.openxmlformats.org/officeDocument/2006/relationships/hyperlink" Target="https://leetcode.com/problems/binary-search/" TargetMode="External"/><Relationship Id="rId29" Type="http://schemas.openxmlformats.org/officeDocument/2006/relationships/hyperlink" Target="https://leetcode.com/problems/search-a-2d-matrix/" TargetMode="External"/><Relationship Id="rId30" Type="http://schemas.openxmlformats.org/officeDocument/2006/relationships/hyperlink" Target="https://leetcode.com/problems/koko-eating-bananas/" TargetMode="External"/><Relationship Id="rId31" Type="http://schemas.openxmlformats.org/officeDocument/2006/relationships/hyperlink" Target="https://leetcode.com/problems/find-minimum-in-rotated-sorted-array/" TargetMode="External"/><Relationship Id="rId32" Type="http://schemas.openxmlformats.org/officeDocument/2006/relationships/hyperlink" Target="https://leetcode.com/problems/search-in-rotated-sorted-array/" TargetMode="External"/><Relationship Id="rId33" Type="http://schemas.openxmlformats.org/officeDocument/2006/relationships/hyperlink" Target="https://leetcode.com/problems/time-based-key-value-store/" TargetMode="External"/><Relationship Id="rId34" Type="http://schemas.openxmlformats.org/officeDocument/2006/relationships/hyperlink" Target="https://leetcode.com/problems/median-of-two-sorted-arrays/" TargetMode="External"/><Relationship Id="rId35" Type="http://schemas.openxmlformats.org/officeDocument/2006/relationships/hyperlink" Target="https://leetcode.com/problems/reverse-linked-list/" TargetMode="External"/><Relationship Id="rId36" Type="http://schemas.openxmlformats.org/officeDocument/2006/relationships/hyperlink" Target="https://leetcode.com/problems/merge-two-sorted-lists/" TargetMode="External"/><Relationship Id="rId37" Type="http://schemas.openxmlformats.org/officeDocument/2006/relationships/hyperlink" Target="https://leetcode.com/problems/reorder-list/" TargetMode="External"/><Relationship Id="rId38" Type="http://schemas.openxmlformats.org/officeDocument/2006/relationships/hyperlink" Target="https://leetcode.com/problems/remove-nth-node-from-end-of-list/" TargetMode="External"/><Relationship Id="rId39" Type="http://schemas.openxmlformats.org/officeDocument/2006/relationships/hyperlink" Target="https://leetcode.com/problems/copy-list-with-random-pointer/" TargetMode="External"/><Relationship Id="rId40" Type="http://schemas.openxmlformats.org/officeDocument/2006/relationships/hyperlink" Target="https://leetcode.com/problems/add-two-numbers/" TargetMode="External"/><Relationship Id="rId41" Type="http://schemas.openxmlformats.org/officeDocument/2006/relationships/hyperlink" Target="https://leetcode.com/problems/linked-list-cycle/" TargetMode="External"/><Relationship Id="rId42" Type="http://schemas.openxmlformats.org/officeDocument/2006/relationships/hyperlink" Target="https://leetcode.com/problems/find-the-duplicate-number/" TargetMode="External"/><Relationship Id="rId43" Type="http://schemas.openxmlformats.org/officeDocument/2006/relationships/hyperlink" Target="https://leetcode.com/problems/lru-cache/" TargetMode="External"/><Relationship Id="rId44" Type="http://schemas.openxmlformats.org/officeDocument/2006/relationships/hyperlink" Target="https://leetcode.com/problems/merge-k-sorted-lists/" TargetMode="External"/><Relationship Id="rId45" Type="http://schemas.openxmlformats.org/officeDocument/2006/relationships/hyperlink" Target="https://leetcode.com/problems/reverse-nodes-in-k-group/" TargetMode="External"/><Relationship Id="rId46" Type="http://schemas.openxmlformats.org/officeDocument/2006/relationships/hyperlink" Target="https://leetcode.com/problems/invert-binary-tree/" TargetMode="External"/><Relationship Id="rId47" Type="http://schemas.openxmlformats.org/officeDocument/2006/relationships/hyperlink" Target="https://leetcode.com/problems/maximum-depth-of-binary-tree/" TargetMode="External"/><Relationship Id="rId48" Type="http://schemas.openxmlformats.org/officeDocument/2006/relationships/hyperlink" Target="https://leetcode.com/problems/diameter-of-binary-tree/" TargetMode="External"/><Relationship Id="rId49" Type="http://schemas.openxmlformats.org/officeDocument/2006/relationships/hyperlink" Target="https://leetcode.com/problems/balanced-binary-tree/" TargetMode="External"/><Relationship Id="rId50" Type="http://schemas.openxmlformats.org/officeDocument/2006/relationships/hyperlink" Target="https://leetcode.com/problems/same-tree/" TargetMode="External"/><Relationship Id="rId51" Type="http://schemas.openxmlformats.org/officeDocument/2006/relationships/hyperlink" Target="https://leetcode.com/problems/subtree-of-another-tree/" TargetMode="External"/><Relationship Id="rId52" Type="http://schemas.openxmlformats.org/officeDocument/2006/relationships/hyperlink" Target="https://leetcode.com/problems/lowest-common-ancestor-of-a-binary-search-tree/" TargetMode="External"/><Relationship Id="rId53" Type="http://schemas.openxmlformats.org/officeDocument/2006/relationships/hyperlink" Target="https://leetcode.com/problems/binary-tree-level-order-traversal/" TargetMode="External"/><Relationship Id="rId54" Type="http://schemas.openxmlformats.org/officeDocument/2006/relationships/hyperlink" Target="https://leetcode.com/problems/binary-tree-right-side-view/" TargetMode="External"/><Relationship Id="rId55" Type="http://schemas.openxmlformats.org/officeDocument/2006/relationships/hyperlink" Target="https://leetcode.com/problems/count-good-nodes-in-binary-tree/" TargetMode="External"/><Relationship Id="rId56" Type="http://schemas.openxmlformats.org/officeDocument/2006/relationships/hyperlink" Target="https://leetcode.com/problems/validate-binary-search-tree/" TargetMode="External"/><Relationship Id="rId57" Type="http://schemas.openxmlformats.org/officeDocument/2006/relationships/hyperlink" Target="https://leetcode.com/problems/kth-smallest-element-in-a-bst/" TargetMode="External"/><Relationship Id="rId58" Type="http://schemas.openxmlformats.org/officeDocument/2006/relationships/hyperlink" Target="https://leetcode.com/problems/construct-binary-tree-from-preorder-and-inorder-traversal/" TargetMode="External"/><Relationship Id="rId59" Type="http://schemas.openxmlformats.org/officeDocument/2006/relationships/hyperlink" Target="https://leetcode.com/problems/binary-tree-maximum-path-sum/" TargetMode="External"/><Relationship Id="rId60" Type="http://schemas.openxmlformats.org/officeDocument/2006/relationships/hyperlink" Target="https://leetcode.com/problems/serialize-and-deserialize-binary-tree/" TargetMode="External"/><Relationship Id="rId61" Type="http://schemas.openxmlformats.org/officeDocument/2006/relationships/hyperlink" Target="https://leetcode.com/problems/implement-trie-prefix-tree/" TargetMode="External"/><Relationship Id="rId62" Type="http://schemas.openxmlformats.org/officeDocument/2006/relationships/hyperlink" Target="https://leetcode.com/problems/design-add-and-search-words-data-structure/" TargetMode="External"/><Relationship Id="rId63" Type="http://schemas.openxmlformats.org/officeDocument/2006/relationships/hyperlink" Target="https://leetcode.com/problems/word-search-ii/" TargetMode="External"/><Relationship Id="rId64" Type="http://schemas.openxmlformats.org/officeDocument/2006/relationships/hyperlink" Target="https://leetcode.com/problems/kth-largest-element-in-a-stream/" TargetMode="External"/><Relationship Id="rId65" Type="http://schemas.openxmlformats.org/officeDocument/2006/relationships/hyperlink" Target="https://leetcode.com/problems/last-stone-weight/" TargetMode="External"/><Relationship Id="rId66" Type="http://schemas.openxmlformats.org/officeDocument/2006/relationships/hyperlink" Target="https://leetcode.com/problems/k-closest-points-to-origin/" TargetMode="External"/><Relationship Id="rId67" Type="http://schemas.openxmlformats.org/officeDocument/2006/relationships/hyperlink" Target="https://leetcode.com/problems/kth-largest-element-in-an-array/" TargetMode="External"/><Relationship Id="rId68" Type="http://schemas.openxmlformats.org/officeDocument/2006/relationships/hyperlink" Target="https://leetcode.com/problems/task-scheduler/" TargetMode="External"/><Relationship Id="rId69" Type="http://schemas.openxmlformats.org/officeDocument/2006/relationships/hyperlink" Target="https://leetcode.com/problems/design-twitter/" TargetMode="External"/><Relationship Id="rId70" Type="http://schemas.openxmlformats.org/officeDocument/2006/relationships/hyperlink" Target="https://leetcode.com/problems/find-median-from-data-stream/" TargetMode="External"/><Relationship Id="rId71" Type="http://schemas.openxmlformats.org/officeDocument/2006/relationships/hyperlink" Target="https://leetcode.com/problems/subsets/" TargetMode="External"/><Relationship Id="rId72" Type="http://schemas.openxmlformats.org/officeDocument/2006/relationships/hyperlink" Target="https://leetcode.com/problems/combination-sum/" TargetMode="External"/><Relationship Id="rId73" Type="http://schemas.openxmlformats.org/officeDocument/2006/relationships/hyperlink" Target="https://leetcode.com/problems/permutations/" TargetMode="External"/><Relationship Id="rId74" Type="http://schemas.openxmlformats.org/officeDocument/2006/relationships/hyperlink" Target="https://leetcode.com/problems/subsets-ii/" TargetMode="External"/><Relationship Id="rId75" Type="http://schemas.openxmlformats.org/officeDocument/2006/relationships/hyperlink" Target="https://leetcode.com/problems/combination-sum-ii/" TargetMode="External"/><Relationship Id="rId76" Type="http://schemas.openxmlformats.org/officeDocument/2006/relationships/hyperlink" Target="https://leetcode.com/problems/word-search/" TargetMode="External"/><Relationship Id="rId77" Type="http://schemas.openxmlformats.org/officeDocument/2006/relationships/hyperlink" Target="https://leetcode.com/problems/palindrome-partitioning/" TargetMode="External"/><Relationship Id="rId78" Type="http://schemas.openxmlformats.org/officeDocument/2006/relationships/hyperlink" Target="https://leetcode.com/problems/letter-combinations-of-a-phone-number/" TargetMode="External"/><Relationship Id="rId79" Type="http://schemas.openxmlformats.org/officeDocument/2006/relationships/hyperlink" Target="https://leetcode.com/problems/n-queens/" TargetMode="External"/><Relationship Id="rId80" Type="http://schemas.openxmlformats.org/officeDocument/2006/relationships/hyperlink" Target="https://leetcode.com/problems/number-of-islands/" TargetMode="External"/><Relationship Id="rId81" Type="http://schemas.openxmlformats.org/officeDocument/2006/relationships/hyperlink" Target="https://leetcode.com/problems/max-area-of-island/" TargetMode="External"/><Relationship Id="rId82" Type="http://schemas.openxmlformats.org/officeDocument/2006/relationships/hyperlink" Target="https://leetcode.com/problems/clone-graph/" TargetMode="External"/><Relationship Id="rId83" Type="http://schemas.openxmlformats.org/officeDocument/2006/relationships/hyperlink" Target="https://leetcode.com/problems/walls-and-gates/" TargetMode="External"/><Relationship Id="rId84" Type="http://schemas.openxmlformats.org/officeDocument/2006/relationships/hyperlink" Target="https://leetcode.com/problems/rotting-oranges/" TargetMode="External"/><Relationship Id="rId85" Type="http://schemas.openxmlformats.org/officeDocument/2006/relationships/hyperlink" Target="https://leetcode.com/problems/pacific-atlantic-water-flow/" TargetMode="External"/><Relationship Id="rId86" Type="http://schemas.openxmlformats.org/officeDocument/2006/relationships/hyperlink" Target="https://leetcode.com/problems/surrounded-regions/" TargetMode="External"/><Relationship Id="rId87" Type="http://schemas.openxmlformats.org/officeDocument/2006/relationships/hyperlink" Target="https://leetcode.com/problems/course-schedule/" TargetMode="External"/><Relationship Id="rId88" Type="http://schemas.openxmlformats.org/officeDocument/2006/relationships/hyperlink" Target="https://leetcode.com/problems/course-schedule-ii/" TargetMode="External"/><Relationship Id="rId89" Type="http://schemas.openxmlformats.org/officeDocument/2006/relationships/hyperlink" Target="https://leetcode.com/problems/graph-valid-tree/" TargetMode="External"/><Relationship Id="rId90" Type="http://schemas.openxmlformats.org/officeDocument/2006/relationships/hyperlink" Target="https://leetcode.com/problems/number-of-connected-components-in-an-undirected-graph/" TargetMode="External"/><Relationship Id="rId91" Type="http://schemas.openxmlformats.org/officeDocument/2006/relationships/hyperlink" Target="https://leetcode.com/problems/redundant-connection/" TargetMode="External"/><Relationship Id="rId92" Type="http://schemas.openxmlformats.org/officeDocument/2006/relationships/hyperlink" Target="https://leetcode.com/problems/word-ladder/" TargetMode="External"/><Relationship Id="rId93" Type="http://schemas.openxmlformats.org/officeDocument/2006/relationships/hyperlink" Target="https://leetcode.com/problems/reconstruct-itinerary/" TargetMode="External"/><Relationship Id="rId94" Type="http://schemas.openxmlformats.org/officeDocument/2006/relationships/hyperlink" Target="https://leetcode.com/problems/min-cost-to-connect-all-points/" TargetMode="External"/><Relationship Id="rId95" Type="http://schemas.openxmlformats.org/officeDocument/2006/relationships/hyperlink" Target="https://leetcode.com/problems/network-delay-time/" TargetMode="External"/><Relationship Id="rId96" Type="http://schemas.openxmlformats.org/officeDocument/2006/relationships/hyperlink" Target="https://leetcode.com/problems/swim-in-rising-water/" TargetMode="External"/><Relationship Id="rId97" Type="http://schemas.openxmlformats.org/officeDocument/2006/relationships/hyperlink" Target="https://leetcode.com/problems/alien-dictionary/" TargetMode="External"/><Relationship Id="rId98" Type="http://schemas.openxmlformats.org/officeDocument/2006/relationships/hyperlink" Target="https://leetcode.com/problems/cheapest-flights-within-k-stops/" TargetMode="External"/><Relationship Id="rId99" Type="http://schemas.openxmlformats.org/officeDocument/2006/relationships/hyperlink" Target="https://leetcode.com/problems/climbing-stairs/" TargetMode="External"/><Relationship Id="rId100" Type="http://schemas.openxmlformats.org/officeDocument/2006/relationships/hyperlink" Target="https://leetcode.com/problems/min-cost-climbing-stairs/" TargetMode="External"/><Relationship Id="rId101" Type="http://schemas.openxmlformats.org/officeDocument/2006/relationships/hyperlink" Target="https://leetcode.com/problems/house-robber/" TargetMode="External"/><Relationship Id="rId102" Type="http://schemas.openxmlformats.org/officeDocument/2006/relationships/hyperlink" Target="https://leetcode.com/problems/house-robber-ii/" TargetMode="External"/><Relationship Id="rId103" Type="http://schemas.openxmlformats.org/officeDocument/2006/relationships/hyperlink" Target="https://leetcode.com/problems/longest-palindromic-substring/" TargetMode="External"/><Relationship Id="rId104" Type="http://schemas.openxmlformats.org/officeDocument/2006/relationships/hyperlink" Target="https://leetcode.com/problems/palindromic-substrings/" TargetMode="External"/><Relationship Id="rId105" Type="http://schemas.openxmlformats.org/officeDocument/2006/relationships/hyperlink" Target="https://leetcode.com/problems/decode-ways/" TargetMode="External"/><Relationship Id="rId106" Type="http://schemas.openxmlformats.org/officeDocument/2006/relationships/hyperlink" Target="https://leetcode.com/problems/coin-change/" TargetMode="External"/><Relationship Id="rId107" Type="http://schemas.openxmlformats.org/officeDocument/2006/relationships/hyperlink" Target="https://leetcode.com/problems/maximum-product-subarray/" TargetMode="External"/><Relationship Id="rId108" Type="http://schemas.openxmlformats.org/officeDocument/2006/relationships/hyperlink" Target="https://leetcode.com/problems/word-break/" TargetMode="External"/><Relationship Id="rId109" Type="http://schemas.openxmlformats.org/officeDocument/2006/relationships/hyperlink" Target="https://leetcode.com/problems/longest-increasing-subsequence/" TargetMode="External"/><Relationship Id="rId110" Type="http://schemas.openxmlformats.org/officeDocument/2006/relationships/hyperlink" Target="https://leetcode.com/problems/partition-equal-subset-sum/" TargetMode="External"/><Relationship Id="rId111" Type="http://schemas.openxmlformats.org/officeDocument/2006/relationships/hyperlink" Target="https://leetcode.com/problems/unique-paths/" TargetMode="External"/><Relationship Id="rId112" Type="http://schemas.openxmlformats.org/officeDocument/2006/relationships/hyperlink" Target="https://leetcode.com/problems/longest-common-subsequence/" TargetMode="External"/><Relationship Id="rId113" Type="http://schemas.openxmlformats.org/officeDocument/2006/relationships/hyperlink" Target="https://leetcode.com/problems/best-time-to-buy-and-sell-stock-with-cooldown/" TargetMode="External"/><Relationship Id="rId114" Type="http://schemas.openxmlformats.org/officeDocument/2006/relationships/hyperlink" Target="https://leetcode.com/problems/coin-change-ii/" TargetMode="External"/><Relationship Id="rId115" Type="http://schemas.openxmlformats.org/officeDocument/2006/relationships/hyperlink" Target="https://leetcode.com/problems/target-sum/" TargetMode="External"/><Relationship Id="rId116" Type="http://schemas.openxmlformats.org/officeDocument/2006/relationships/hyperlink" Target="https://leetcode.com/problems/interleaving-string/" TargetMode="External"/><Relationship Id="rId117" Type="http://schemas.openxmlformats.org/officeDocument/2006/relationships/hyperlink" Target="https://leetcode.com/problems/longest-increasing-path-in-a-matrix/" TargetMode="External"/><Relationship Id="rId118" Type="http://schemas.openxmlformats.org/officeDocument/2006/relationships/hyperlink" Target="https://leetcode.com/problems/distinct-subsequences/" TargetMode="External"/><Relationship Id="rId119" Type="http://schemas.openxmlformats.org/officeDocument/2006/relationships/hyperlink" Target="https://leetcode.com/problems/edit-distance/" TargetMode="External"/><Relationship Id="rId120" Type="http://schemas.openxmlformats.org/officeDocument/2006/relationships/hyperlink" Target="https://leetcode.com/problems/burst-balloons/" TargetMode="External"/><Relationship Id="rId121" Type="http://schemas.openxmlformats.org/officeDocument/2006/relationships/hyperlink" Target="https://leetcode.com/problems/regular-expression-matching/" TargetMode="External"/><Relationship Id="rId122" Type="http://schemas.openxmlformats.org/officeDocument/2006/relationships/hyperlink" Target="https://leetcode.com/problems/maximum-subarray/" TargetMode="External"/><Relationship Id="rId123" Type="http://schemas.openxmlformats.org/officeDocument/2006/relationships/hyperlink" Target="https://leetcode.com/problems/jump-game/" TargetMode="External"/><Relationship Id="rId124" Type="http://schemas.openxmlformats.org/officeDocument/2006/relationships/hyperlink" Target="https://leetcode.com/problems/jump-game-ii/" TargetMode="External"/><Relationship Id="rId125" Type="http://schemas.openxmlformats.org/officeDocument/2006/relationships/hyperlink" Target="https://leetcode.com/problems/gas-station/" TargetMode="External"/><Relationship Id="rId126" Type="http://schemas.openxmlformats.org/officeDocument/2006/relationships/hyperlink" Target="https://leetcode.com/problems/hand-of-straights/" TargetMode="External"/><Relationship Id="rId127" Type="http://schemas.openxmlformats.org/officeDocument/2006/relationships/hyperlink" Target="https://leetcode.com/problems/merge-triplets-to-form-target-triplet/" TargetMode="External"/><Relationship Id="rId128" Type="http://schemas.openxmlformats.org/officeDocument/2006/relationships/hyperlink" Target="https://leetcode.com/problems/partition-labels/" TargetMode="External"/><Relationship Id="rId129" Type="http://schemas.openxmlformats.org/officeDocument/2006/relationships/hyperlink" Target="https://leetcode.com/problems/valid-parenthesis-string/" TargetMode="External"/><Relationship Id="rId130" Type="http://schemas.openxmlformats.org/officeDocument/2006/relationships/hyperlink" Target="https://leetcode.com/problems/insert-interval/" TargetMode="External"/><Relationship Id="rId131" Type="http://schemas.openxmlformats.org/officeDocument/2006/relationships/hyperlink" Target="https://leetcode.com/problems/merge-intervals/" TargetMode="External"/><Relationship Id="rId132" Type="http://schemas.openxmlformats.org/officeDocument/2006/relationships/hyperlink" Target="https://leetcode.com/problems/non-overlapping-intervals/" TargetMode="External"/><Relationship Id="rId133" Type="http://schemas.openxmlformats.org/officeDocument/2006/relationships/hyperlink" Target="https://leetcode.com/problems/meeting-rooms/" TargetMode="External"/><Relationship Id="rId134" Type="http://schemas.openxmlformats.org/officeDocument/2006/relationships/hyperlink" Target="https://leetcode.com/problems/meeting-rooms-ii/" TargetMode="External"/><Relationship Id="rId135" Type="http://schemas.openxmlformats.org/officeDocument/2006/relationships/hyperlink" Target="https://leetcode.com/problems/minimum-interval-to-include-each-query/" TargetMode="External"/><Relationship Id="rId136" Type="http://schemas.openxmlformats.org/officeDocument/2006/relationships/hyperlink" Target="https://leetcode.com/problems/rotate-image/" TargetMode="External"/><Relationship Id="rId137" Type="http://schemas.openxmlformats.org/officeDocument/2006/relationships/hyperlink" Target="https://leetcode.com/problems/spiral-matrix/" TargetMode="External"/><Relationship Id="rId138" Type="http://schemas.openxmlformats.org/officeDocument/2006/relationships/hyperlink" Target="https://leetcode.com/problems/set-matrix-zeroes/" TargetMode="External"/><Relationship Id="rId139" Type="http://schemas.openxmlformats.org/officeDocument/2006/relationships/hyperlink" Target="https://leetcode.com/problems/happy-number/" TargetMode="External"/><Relationship Id="rId140" Type="http://schemas.openxmlformats.org/officeDocument/2006/relationships/hyperlink" Target="https://leetcode.com/problems/plus-one/" TargetMode="External"/><Relationship Id="rId141" Type="http://schemas.openxmlformats.org/officeDocument/2006/relationships/hyperlink" Target="https://leetcode.com/problems/powx-n/" TargetMode="External"/><Relationship Id="rId142" Type="http://schemas.openxmlformats.org/officeDocument/2006/relationships/hyperlink" Target="https://leetcode.com/problems/multiply-strings/" TargetMode="External"/><Relationship Id="rId143" Type="http://schemas.openxmlformats.org/officeDocument/2006/relationships/hyperlink" Target="https://leetcode.com/problems/detect-squares/" TargetMode="External"/><Relationship Id="rId144" Type="http://schemas.openxmlformats.org/officeDocument/2006/relationships/hyperlink" Target="https://leetcode.com/problems/single-number/" TargetMode="External"/><Relationship Id="rId145" Type="http://schemas.openxmlformats.org/officeDocument/2006/relationships/hyperlink" Target="https://leetcode.com/problems/number-of-1-bits/" TargetMode="External"/><Relationship Id="rId146" Type="http://schemas.openxmlformats.org/officeDocument/2006/relationships/hyperlink" Target="https://leetcode.com/problems/counting-bits/" TargetMode="External"/><Relationship Id="rId147" Type="http://schemas.openxmlformats.org/officeDocument/2006/relationships/hyperlink" Target="https://leetcode.com/problems/reverse-bits/" TargetMode="External"/><Relationship Id="rId148" Type="http://schemas.openxmlformats.org/officeDocument/2006/relationships/hyperlink" Target="https://leetcode.com/problems/missing-number/" TargetMode="External"/><Relationship Id="rId149" Type="http://schemas.openxmlformats.org/officeDocument/2006/relationships/hyperlink" Target="https://leetcode.com/problems/sum-of-two-integers/" TargetMode="External"/><Relationship Id="rId150" Type="http://schemas.openxmlformats.org/officeDocument/2006/relationships/hyperlink" Target="https://leetcode.com/problems/reverse-integer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hellointerview.com/learn/system-design/in-a-hurry/introduction" TargetMode="External"/><Relationship Id="rId2" Type="http://schemas.openxmlformats.org/officeDocument/2006/relationships/hyperlink" Target="https://github.com/donnemartin/system-design-primer" TargetMode="External"/><Relationship Id="rId3" Type="http://schemas.openxmlformats.org/officeDocument/2006/relationships/hyperlink" Target="https://github.com/donnemartin/system-design-primer" TargetMode="External"/><Relationship Id="rId4" Type="http://schemas.openxmlformats.org/officeDocument/2006/relationships/hyperlink" Target="https://github.com/donnemartin/system-design-primer" TargetMode="External"/><Relationship Id="rId5" Type="http://schemas.openxmlformats.org/officeDocument/2006/relationships/hyperlink" Target="https://github.com/donnemartin/system-design-primer" TargetMode="External"/><Relationship Id="rId6" Type="http://schemas.openxmlformats.org/officeDocument/2006/relationships/hyperlink" Target="https://github.com/donnemartin/system-design-primer" TargetMode="External"/><Relationship Id="rId7" Type="http://schemas.openxmlformats.org/officeDocument/2006/relationships/hyperlink" Target="https://blog.bytebytego.com/" TargetMode="External"/><Relationship Id="rId8" Type="http://schemas.openxmlformats.org/officeDocument/2006/relationships/hyperlink" Target="https://github.com/donnemartin/system-design-primer" TargetMode="External"/><Relationship Id="rId9" Type="http://schemas.openxmlformats.org/officeDocument/2006/relationships/hyperlink" Target="https://kafka.apache.org/documentation/" TargetMode="External"/><Relationship Id="rId10" Type="http://schemas.openxmlformats.org/officeDocument/2006/relationships/hyperlink" Target="https://use-the-index-luke.com/" TargetMode="External"/><Relationship Id="rId11" Type="http://schemas.openxmlformats.org/officeDocument/2006/relationships/hyperlink" Target="https://www.hellointerview.com/learn/system-design/in-a-hurry/introduction" TargetMode="External"/><Relationship Id="rId12" Type="http://schemas.openxmlformats.org/officeDocument/2006/relationships/hyperlink" Target="https://github.com/donnemartin/system-design-primer" TargetMode="External"/><Relationship Id="rId13" Type="http://schemas.openxmlformats.org/officeDocument/2006/relationships/hyperlink" Target="https://github.com/donnemartin/system-design-primer" TargetMode="External"/><Relationship Id="rId14" Type="http://schemas.openxmlformats.org/officeDocument/2006/relationships/hyperlink" Target="https://microservices.io/patterns/index.html" TargetMode="External"/><Relationship Id="rId15" Type="http://schemas.openxmlformats.org/officeDocument/2006/relationships/hyperlink" Target="https://stripe.com/blog/idempotency" TargetMode="External"/><Relationship Id="rId16" Type="http://schemas.openxmlformats.org/officeDocument/2006/relationships/hyperlink" Target="https://sre.google/sre-book/table-of-contents/" TargetMode="External"/><Relationship Id="rId17" Type="http://schemas.openxmlformats.org/officeDocument/2006/relationships/hyperlink" Target="https://martin.kleppmann.com/2016/02/08/how-to-do-distributed-locking.html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pages.cs.wisc.edu/~remzi/OSTEP/" TargetMode="External"/><Relationship Id="rId2" Type="http://schemas.openxmlformats.org/officeDocument/2006/relationships/hyperlink" Target="https://pages.cs.wisc.edu/~remzi/OSTEP/" TargetMode="External"/><Relationship Id="rId3" Type="http://schemas.openxmlformats.org/officeDocument/2006/relationships/hyperlink" Target="https://pages.cs.wisc.edu/~remzi/OSTEP/" TargetMode="External"/><Relationship Id="rId4" Type="http://schemas.openxmlformats.org/officeDocument/2006/relationships/hyperlink" Target="https://pages.cs.wisc.edu/~remzi/OSTEP/" TargetMode="External"/><Relationship Id="rId5" Type="http://schemas.openxmlformats.org/officeDocument/2006/relationships/hyperlink" Target="https://pages.cs.wisc.edu/~remzi/OSTEP/" TargetMode="External"/><Relationship Id="rId6" Type="http://schemas.openxmlformats.org/officeDocument/2006/relationships/hyperlink" Target="https://gaia.cs.umass.edu/kurose_ross/" TargetMode="External"/><Relationship Id="rId7" Type="http://schemas.openxmlformats.org/officeDocument/2006/relationships/hyperlink" Target="https://gaia.cs.umass.edu/kurose_ross/" TargetMode="External"/><Relationship Id="rId8" Type="http://schemas.openxmlformats.org/officeDocument/2006/relationships/hyperlink" Target="https://developer.mozilla.org/en-US/docs/Web/HTTP" TargetMode="External"/><Relationship Id="rId9" Type="http://schemas.openxmlformats.org/officeDocument/2006/relationships/hyperlink" Target="https://www.cloudflare.com/learning/dns/what-is-dns/" TargetMode="External"/><Relationship Id="rId10" Type="http://schemas.openxmlformats.org/officeDocument/2006/relationships/hyperlink" Target="https://github.com/alex/what-happens-when" TargetMode="External"/><Relationship Id="rId11" Type="http://schemas.openxmlformats.org/officeDocument/2006/relationships/hyperlink" Target="https://www.geeksforgeeks.org/acid-properties-in-dbms/" TargetMode="External"/><Relationship Id="rId12" Type="http://schemas.openxmlformats.org/officeDocument/2006/relationships/hyperlink" Target="https://www.postgresql.org/docs/current/transaction-iso.html" TargetMode="External"/><Relationship Id="rId13" Type="http://schemas.openxmlformats.org/officeDocument/2006/relationships/hyperlink" Target="https://use-the-index-luke.com/" TargetMode="External"/><Relationship Id="rId14" Type="http://schemas.openxmlformats.org/officeDocument/2006/relationships/hyperlink" Target="https://www.geeksforgeeks.org/normalization-in-dbms/" TargetMode="External"/><Relationship Id="rId15" Type="http://schemas.openxmlformats.org/officeDocument/2006/relationships/hyperlink" Target="https://martin.kleppmann.com/" TargetMode="External"/><Relationship Id="rId16" Type="http://schemas.openxmlformats.org/officeDocument/2006/relationships/hyperlink" Target="https://jenkov.com/tutorials/java-concurrency/index.html" TargetMode="External"/><Relationship Id="rId17" Type="http://schemas.openxmlformats.org/officeDocument/2006/relationships/hyperlink" Target="https://jenkov.com/tutorials/java-concurrency/index.html" TargetMode="External"/><Relationship Id="rId18" Type="http://schemas.openxmlformats.org/officeDocument/2006/relationships/hyperlink" Target="https://jenkov.com/tutorials/java-concurrency/index.html" TargetMode="External"/><Relationship Id="rId19" Type="http://schemas.openxmlformats.org/officeDocument/2006/relationships/hyperlink" Target="https://www.bigocheatsheet.com/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refactoring.guru/design-patterns" TargetMode="External"/><Relationship Id="rId2" Type="http://schemas.openxmlformats.org/officeDocument/2006/relationships/hyperlink" Target="https://www.geeksforgeeks.org/solid-principle-in-programming-understand-with-real-life-examples/" TargetMode="External"/><Relationship Id="rId3" Type="http://schemas.openxmlformats.org/officeDocument/2006/relationships/hyperlink" Target="https://refactoring.guru/design-patterns/creational-patterns" TargetMode="External"/><Relationship Id="rId4" Type="http://schemas.openxmlformats.org/officeDocument/2006/relationships/hyperlink" Target="https://refactoring.guru/design-patterns/structural-patterns" TargetMode="External"/><Relationship Id="rId5" Type="http://schemas.openxmlformats.org/officeDocument/2006/relationships/hyperlink" Target="https://refactoring.guru/design-patterns/behavioral-patterns" TargetMode="External"/><Relationship Id="rId6" Type="http://schemas.openxmlformats.org/officeDocument/2006/relationships/hyperlink" Target="https://github.com/ashishps1/awesome-low-level-design" TargetMode="External"/><Relationship Id="rId7" Type="http://schemas.openxmlformats.org/officeDocument/2006/relationships/hyperlink" Target="https://github.com/ashishps1/awesome-low-level-design" TargetMode="External"/><Relationship Id="rId8" Type="http://schemas.openxmlformats.org/officeDocument/2006/relationships/hyperlink" Target="https://github.com/ashishps1/awesome-low-level-design" TargetMode="External"/><Relationship Id="rId9" Type="http://schemas.openxmlformats.org/officeDocument/2006/relationships/hyperlink" Target="https://github.com/ashishps1/awesome-low-level-design" TargetMode="External"/><Relationship Id="rId10" Type="http://schemas.openxmlformats.org/officeDocument/2006/relationships/hyperlink" Target="https://refactoring.guru/design-patterns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themuse.com/advice/star-interview-method" TargetMode="External"/><Relationship Id="rId2" Type="http://schemas.openxmlformats.org/officeDocument/2006/relationships/hyperlink" Target="https://www.levels.fyi/blog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neetcode.io/practice" TargetMode="External"/><Relationship Id="rId2" Type="http://schemas.openxmlformats.org/officeDocument/2006/relationships/hyperlink" Target="https://neetcode.io/roadmap" TargetMode="External"/><Relationship Id="rId3" Type="http://schemas.openxmlformats.org/officeDocument/2006/relationships/hyperlink" Target="https://leetcode.com/" TargetMode="External"/><Relationship Id="rId4" Type="http://schemas.openxmlformats.org/officeDocument/2006/relationships/hyperlink" Target="https://www.bigocheatsheet.com/" TargetMode="External"/><Relationship Id="rId5" Type="http://schemas.openxmlformats.org/officeDocument/2006/relationships/hyperlink" Target="https://algo.monster/" TargetMode="External"/><Relationship Id="rId6" Type="http://schemas.openxmlformats.org/officeDocument/2006/relationships/hyperlink" Target="https://www.techinterviewhandbook.org/" TargetMode="External"/><Relationship Id="rId7" Type="http://schemas.openxmlformats.org/officeDocument/2006/relationships/hyperlink" Target="https://www.educative.io/courses/grokking-coding-interview-patterns-python" TargetMode="External"/><Relationship Id="rId8" Type="http://schemas.openxmlformats.org/officeDocument/2006/relationships/hyperlink" Target="https://github.com/donnemartin/system-design-primer" TargetMode="External"/><Relationship Id="rId9" Type="http://schemas.openxmlformats.org/officeDocument/2006/relationships/hyperlink" Target="https://www.hellointerview.com/learn/system-design/in-a-hurry/introduction" TargetMode="External"/><Relationship Id="rId10" Type="http://schemas.openxmlformats.org/officeDocument/2006/relationships/hyperlink" Target="https://blog.bytebytego.com/" TargetMode="External"/><Relationship Id="rId11" Type="http://schemas.openxmlformats.org/officeDocument/2006/relationships/hyperlink" Target="https://www.youtube.com/@gkcs" TargetMode="External"/><Relationship Id="rId12" Type="http://schemas.openxmlformats.org/officeDocument/2006/relationships/hyperlink" Target="http://highscalability.com/" TargetMode="External"/><Relationship Id="rId13" Type="http://schemas.openxmlformats.org/officeDocument/2006/relationships/hyperlink" Target="https://www.amazon.com/dp/B08CMF2CQF" TargetMode="External"/><Relationship Id="rId14" Type="http://schemas.openxmlformats.org/officeDocument/2006/relationships/hyperlink" Target="https://microservices.io/patterns/index.html" TargetMode="External"/><Relationship Id="rId15" Type="http://schemas.openxmlformats.org/officeDocument/2006/relationships/hyperlink" Target="https://sre.google/sre-book/table-of-contents/" TargetMode="External"/><Relationship Id="rId16" Type="http://schemas.openxmlformats.org/officeDocument/2006/relationships/hyperlink" Target="https://dataintensive.net/" TargetMode="External"/><Relationship Id="rId17" Type="http://schemas.openxmlformats.org/officeDocument/2006/relationships/hyperlink" Target="https://pages.cs.wisc.edu/~remzi/OSTEP/" TargetMode="External"/><Relationship Id="rId18" Type="http://schemas.openxmlformats.org/officeDocument/2006/relationships/hyperlink" Target="https://gaia.cs.umass.edu/kurose_ross/" TargetMode="External"/><Relationship Id="rId19" Type="http://schemas.openxmlformats.org/officeDocument/2006/relationships/hyperlink" Target="https://developer.mozilla.org/en-US/docs/Web/HTTP" TargetMode="External"/><Relationship Id="rId20" Type="http://schemas.openxmlformats.org/officeDocument/2006/relationships/hyperlink" Target="https://use-the-index-luke.com/" TargetMode="External"/><Relationship Id="rId21" Type="http://schemas.openxmlformats.org/officeDocument/2006/relationships/hyperlink" Target="https://jenkov.com/tutorials/java-concurrency/index.html" TargetMode="External"/><Relationship Id="rId22" Type="http://schemas.openxmlformats.org/officeDocument/2006/relationships/hyperlink" Target="https://github.com/alex/what-happens-when" TargetMode="External"/><Relationship Id="rId23" Type="http://schemas.openxmlformats.org/officeDocument/2006/relationships/hyperlink" Target="https://refactoring.guru/design-patterns" TargetMode="External"/><Relationship Id="rId24" Type="http://schemas.openxmlformats.org/officeDocument/2006/relationships/hyperlink" Target="https://github.com/ashishps1/awesome-low-level-design" TargetMode="External"/><Relationship Id="rId25" Type="http://schemas.openxmlformats.org/officeDocument/2006/relationships/hyperlink" Target="https://github.com/prasadgujar/low-level-design-primer" TargetMode="External"/><Relationship Id="rId26" Type="http://schemas.openxmlformats.org/officeDocument/2006/relationships/hyperlink" Target="https://www.techinterviewhandbook.org/behavioral-interview/" TargetMode="External"/><Relationship Id="rId27" Type="http://schemas.openxmlformats.org/officeDocument/2006/relationships/hyperlink" Target="https://www.themuse.com/advice/star-interview-method" TargetMode="External"/><Relationship Id="rId28" Type="http://schemas.openxmlformats.org/officeDocument/2006/relationships/hyperlink" Target="https://www.levels.fyi/" TargetMode="External"/><Relationship Id="rId29" Type="http://schemas.openxmlformats.org/officeDocument/2006/relationships/hyperlink" Target="https://www.pramp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30" hidden="false" customHeight="true" outlineLevel="0" collapsed="false">
      <c r="B2" s="1" t="s">
        <v>0</v>
      </c>
      <c r="C2" s="1"/>
    </row>
    <row r="4" customFormat="false" ht="42" hidden="false" customHeight="true" outlineLevel="0" collapsed="false">
      <c r="B4" s="2" t="s">
        <v>1</v>
      </c>
      <c r="C4" s="3" t="s">
        <v>2</v>
      </c>
    </row>
    <row r="5" customFormat="false" ht="42" hidden="false" customHeight="true" outlineLevel="0" collapsed="false">
      <c r="B5" s="2" t="s">
        <v>3</v>
      </c>
      <c r="C5" s="3" t="s">
        <v>4</v>
      </c>
    </row>
    <row r="6" customFormat="false" ht="42" hidden="false" customHeight="true" outlineLevel="0" collapsed="false">
      <c r="B6" s="2" t="s">
        <v>5</v>
      </c>
      <c r="C6" s="3" t="s">
        <v>6</v>
      </c>
    </row>
    <row r="7" customFormat="false" ht="42" hidden="false" customHeight="true" outlineLevel="0" collapsed="false">
      <c r="B7" s="2" t="s">
        <v>7</v>
      </c>
      <c r="C7" s="3" t="s">
        <v>8</v>
      </c>
    </row>
    <row r="8" customFormat="false" ht="42" hidden="false" customHeight="true" outlineLevel="0" collapsed="false">
      <c r="B8" s="2" t="s">
        <v>9</v>
      </c>
      <c r="C8" s="3" t="s">
        <v>10</v>
      </c>
    </row>
    <row r="9" customFormat="false" ht="42" hidden="false" customHeight="true" outlineLevel="0" collapsed="false">
      <c r="B9" s="2" t="s">
        <v>11</v>
      </c>
      <c r="C9" s="3" t="s">
        <v>12</v>
      </c>
    </row>
    <row r="10" customFormat="false" ht="42" hidden="false" customHeight="true" outlineLevel="0" collapsed="false">
      <c r="B10" s="2" t="s">
        <v>13</v>
      </c>
      <c r="C10" s="3" t="s">
        <v>14</v>
      </c>
    </row>
    <row r="11" customFormat="false" ht="42" hidden="false" customHeight="true" outlineLevel="0" collapsed="false">
      <c r="B11" s="2" t="s">
        <v>15</v>
      </c>
      <c r="C11" s="3" t="s">
        <v>16</v>
      </c>
    </row>
    <row r="12" customFormat="false" ht="42" hidden="false" customHeight="true" outlineLevel="0" collapsed="false">
      <c r="B12" s="2" t="s">
        <v>17</v>
      </c>
      <c r="C12" s="3" t="s">
        <v>18</v>
      </c>
    </row>
    <row r="14" customFormat="false" ht="15" hidden="false" customHeight="false" outlineLevel="0" collapsed="false">
      <c r="B14" s="4" t="s">
        <v>19</v>
      </c>
    </row>
    <row r="15" customFormat="false" ht="15" hidden="false" customHeight="false" outlineLevel="0" collapsed="false">
      <c r="B15" s="5" t="s">
        <v>20</v>
      </c>
      <c r="C15" s="3" t="s">
        <v>21</v>
      </c>
    </row>
    <row r="16" customFormat="false" ht="15" hidden="false" customHeight="false" outlineLevel="0" collapsed="false">
      <c r="B16" s="6" t="s">
        <v>22</v>
      </c>
      <c r="C16" s="3" t="s">
        <v>23</v>
      </c>
    </row>
    <row r="17" customFormat="false" ht="15" hidden="false" customHeight="false" outlineLevel="0" collapsed="false">
      <c r="B17" s="7" t="s">
        <v>24</v>
      </c>
      <c r="C17" s="3" t="s">
        <v>25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34"/>
  </cols>
  <sheetData>
    <row r="1" customFormat="false" ht="25.5" hidden="false" customHeight="true" outlineLevel="0" collapsed="false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27.75" hidden="false" customHeight="true" outlineLevel="0" collapsed="false">
      <c r="A2" s="9" t="s">
        <v>27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9" t="s">
        <v>33</v>
      </c>
      <c r="H2" s="9" t="s">
        <v>34</v>
      </c>
      <c r="I2" s="9" t="s">
        <v>35</v>
      </c>
      <c r="J2" s="9" t="s">
        <v>36</v>
      </c>
      <c r="K2" s="9" t="s">
        <v>37</v>
      </c>
      <c r="L2" s="9" t="s">
        <v>38</v>
      </c>
    </row>
    <row r="3" customFormat="false" ht="15" hidden="false" customHeight="false" outlineLevel="0" collapsed="false">
      <c r="A3" s="10" t="n">
        <v>1</v>
      </c>
      <c r="B3" s="3" t="s">
        <v>39</v>
      </c>
      <c r="C3" s="3" t="s">
        <v>40</v>
      </c>
      <c r="D3" s="11" t="s">
        <v>41</v>
      </c>
      <c r="E3" s="12" t="n">
        <v>1</v>
      </c>
      <c r="F3" s="3" t="s">
        <v>42</v>
      </c>
      <c r="G3" s="13" t="s">
        <v>43</v>
      </c>
      <c r="H3" s="10" t="s">
        <v>44</v>
      </c>
      <c r="I3" s="10"/>
      <c r="J3" s="10"/>
      <c r="K3" s="10"/>
      <c r="L3" s="3"/>
    </row>
    <row r="4" customFormat="false" ht="15" hidden="false" customHeight="false" outlineLevel="0" collapsed="false">
      <c r="A4" s="14" t="n">
        <v>2</v>
      </c>
      <c r="B4" s="15" t="s">
        <v>39</v>
      </c>
      <c r="C4" s="15" t="s">
        <v>45</v>
      </c>
      <c r="D4" s="11" t="s">
        <v>41</v>
      </c>
      <c r="E4" s="12" t="n">
        <v>1</v>
      </c>
      <c r="F4" s="15" t="s">
        <v>46</v>
      </c>
      <c r="G4" s="13" t="s">
        <v>43</v>
      </c>
      <c r="H4" s="14" t="s">
        <v>44</v>
      </c>
      <c r="I4" s="14"/>
      <c r="J4" s="14"/>
      <c r="K4" s="14"/>
      <c r="L4" s="15"/>
    </row>
    <row r="5" customFormat="false" ht="15" hidden="false" customHeight="false" outlineLevel="0" collapsed="false">
      <c r="A5" s="10" t="n">
        <v>3</v>
      </c>
      <c r="B5" s="3" t="s">
        <v>39</v>
      </c>
      <c r="C5" s="3" t="s">
        <v>47</v>
      </c>
      <c r="D5" s="11" t="s">
        <v>41</v>
      </c>
      <c r="E5" s="12" t="n">
        <v>1</v>
      </c>
      <c r="F5" s="3" t="s">
        <v>48</v>
      </c>
      <c r="G5" s="13" t="s">
        <v>43</v>
      </c>
      <c r="H5" s="10" t="s">
        <v>44</v>
      </c>
      <c r="I5" s="10"/>
      <c r="J5" s="10"/>
      <c r="K5" s="10"/>
      <c r="L5" s="3"/>
    </row>
    <row r="6" customFormat="false" ht="15" hidden="false" customHeight="false" outlineLevel="0" collapsed="false">
      <c r="A6" s="14" t="n">
        <v>4</v>
      </c>
      <c r="B6" s="15" t="s">
        <v>39</v>
      </c>
      <c r="C6" s="15" t="s">
        <v>49</v>
      </c>
      <c r="D6" s="16" t="s">
        <v>50</v>
      </c>
      <c r="E6" s="12" t="n">
        <v>1</v>
      </c>
      <c r="F6" s="15" t="s">
        <v>51</v>
      </c>
      <c r="G6" s="13" t="s">
        <v>43</v>
      </c>
      <c r="H6" s="14" t="s">
        <v>44</v>
      </c>
      <c r="I6" s="14"/>
      <c r="J6" s="14"/>
      <c r="K6" s="14"/>
      <c r="L6" s="15"/>
    </row>
    <row r="7" customFormat="false" ht="15" hidden="false" customHeight="false" outlineLevel="0" collapsed="false">
      <c r="A7" s="10" t="n">
        <v>5</v>
      </c>
      <c r="B7" s="3" t="s">
        <v>39</v>
      </c>
      <c r="C7" s="3" t="s">
        <v>52</v>
      </c>
      <c r="D7" s="16" t="s">
        <v>50</v>
      </c>
      <c r="E7" s="12" t="n">
        <v>1</v>
      </c>
      <c r="F7" s="3" t="s">
        <v>53</v>
      </c>
      <c r="G7" s="13" t="s">
        <v>43</v>
      </c>
      <c r="H7" s="10" t="s">
        <v>44</v>
      </c>
      <c r="I7" s="10"/>
      <c r="J7" s="10"/>
      <c r="K7" s="10"/>
      <c r="L7" s="3"/>
    </row>
    <row r="8" customFormat="false" ht="15" hidden="false" customHeight="false" outlineLevel="0" collapsed="false">
      <c r="A8" s="14" t="n">
        <v>6</v>
      </c>
      <c r="B8" s="15" t="s">
        <v>39</v>
      </c>
      <c r="C8" s="15" t="s">
        <v>54</v>
      </c>
      <c r="D8" s="16" t="s">
        <v>50</v>
      </c>
      <c r="E8" s="17" t="n">
        <v>2</v>
      </c>
      <c r="F8" s="15" t="s">
        <v>55</v>
      </c>
      <c r="G8" s="13" t="s">
        <v>43</v>
      </c>
      <c r="H8" s="14" t="s">
        <v>44</v>
      </c>
      <c r="I8" s="14"/>
      <c r="J8" s="14"/>
      <c r="K8" s="14"/>
      <c r="L8" s="15"/>
    </row>
    <row r="9" customFormat="false" ht="15" hidden="false" customHeight="false" outlineLevel="0" collapsed="false">
      <c r="A9" s="10" t="n">
        <v>7</v>
      </c>
      <c r="B9" s="3" t="s">
        <v>39</v>
      </c>
      <c r="C9" s="3" t="s">
        <v>56</v>
      </c>
      <c r="D9" s="16" t="s">
        <v>50</v>
      </c>
      <c r="E9" s="12" t="n">
        <v>1</v>
      </c>
      <c r="F9" s="3" t="s">
        <v>57</v>
      </c>
      <c r="G9" s="13" t="s">
        <v>43</v>
      </c>
      <c r="H9" s="10" t="s">
        <v>44</v>
      </c>
      <c r="I9" s="10"/>
      <c r="J9" s="10"/>
      <c r="K9" s="10"/>
      <c r="L9" s="3"/>
    </row>
    <row r="10" customFormat="false" ht="15" hidden="false" customHeight="false" outlineLevel="0" collapsed="false">
      <c r="A10" s="14" t="n">
        <v>8</v>
      </c>
      <c r="B10" s="15" t="s">
        <v>39</v>
      </c>
      <c r="C10" s="15" t="s">
        <v>58</v>
      </c>
      <c r="D10" s="16" t="s">
        <v>50</v>
      </c>
      <c r="E10" s="17" t="n">
        <v>2</v>
      </c>
      <c r="F10" s="15" t="s">
        <v>59</v>
      </c>
      <c r="G10" s="13" t="s">
        <v>43</v>
      </c>
      <c r="H10" s="14" t="s">
        <v>44</v>
      </c>
      <c r="I10" s="14"/>
      <c r="J10" s="14"/>
      <c r="K10" s="14"/>
      <c r="L10" s="15"/>
    </row>
    <row r="11" customFormat="false" ht="15" hidden="false" customHeight="false" outlineLevel="0" collapsed="false">
      <c r="A11" s="10" t="n">
        <v>9</v>
      </c>
      <c r="B11" s="3" t="s">
        <v>39</v>
      </c>
      <c r="C11" s="3" t="s">
        <v>60</v>
      </c>
      <c r="D11" s="16" t="s">
        <v>50</v>
      </c>
      <c r="E11" s="12" t="n">
        <v>1</v>
      </c>
      <c r="F11" s="3" t="s">
        <v>61</v>
      </c>
      <c r="G11" s="13" t="s">
        <v>43</v>
      </c>
      <c r="H11" s="10" t="s">
        <v>44</v>
      </c>
      <c r="I11" s="10"/>
      <c r="J11" s="10"/>
      <c r="K11" s="10"/>
      <c r="L11" s="3"/>
    </row>
    <row r="12" customFormat="false" ht="15" hidden="false" customHeight="false" outlineLevel="0" collapsed="false">
      <c r="A12" s="14" t="n">
        <v>10</v>
      </c>
      <c r="B12" s="15" t="s">
        <v>62</v>
      </c>
      <c r="C12" s="15" t="s">
        <v>63</v>
      </c>
      <c r="D12" s="11" t="s">
        <v>41</v>
      </c>
      <c r="E12" s="12" t="n">
        <v>1</v>
      </c>
      <c r="F12" s="15" t="s">
        <v>64</v>
      </c>
      <c r="G12" s="13" t="s">
        <v>43</v>
      </c>
      <c r="H12" s="14" t="s">
        <v>44</v>
      </c>
      <c r="I12" s="14"/>
      <c r="J12" s="14"/>
      <c r="K12" s="14"/>
      <c r="L12" s="15"/>
    </row>
    <row r="13" customFormat="false" ht="15" hidden="false" customHeight="false" outlineLevel="0" collapsed="false">
      <c r="A13" s="10" t="n">
        <v>11</v>
      </c>
      <c r="B13" s="3" t="s">
        <v>62</v>
      </c>
      <c r="C13" s="3" t="s">
        <v>65</v>
      </c>
      <c r="D13" s="16" t="s">
        <v>50</v>
      </c>
      <c r="E13" s="12" t="n">
        <v>1</v>
      </c>
      <c r="F13" s="3" t="s">
        <v>66</v>
      </c>
      <c r="G13" s="13" t="s">
        <v>43</v>
      </c>
      <c r="H13" s="10" t="s">
        <v>44</v>
      </c>
      <c r="I13" s="10"/>
      <c r="J13" s="10"/>
      <c r="K13" s="10"/>
      <c r="L13" s="3"/>
    </row>
    <row r="14" customFormat="false" ht="15" hidden="false" customHeight="false" outlineLevel="0" collapsed="false">
      <c r="A14" s="14" t="n">
        <v>12</v>
      </c>
      <c r="B14" s="15" t="s">
        <v>62</v>
      </c>
      <c r="C14" s="15" t="s">
        <v>67</v>
      </c>
      <c r="D14" s="16" t="s">
        <v>50</v>
      </c>
      <c r="E14" s="12" t="n">
        <v>1</v>
      </c>
      <c r="F14" s="15" t="s">
        <v>68</v>
      </c>
      <c r="G14" s="13" t="s">
        <v>43</v>
      </c>
      <c r="H14" s="14" t="s">
        <v>44</v>
      </c>
      <c r="I14" s="14"/>
      <c r="J14" s="14"/>
      <c r="K14" s="14"/>
      <c r="L14" s="15"/>
    </row>
    <row r="15" customFormat="false" ht="15" hidden="false" customHeight="false" outlineLevel="0" collapsed="false">
      <c r="A15" s="10" t="n">
        <v>13</v>
      </c>
      <c r="B15" s="3" t="s">
        <v>62</v>
      </c>
      <c r="C15" s="3" t="s">
        <v>69</v>
      </c>
      <c r="D15" s="16" t="s">
        <v>50</v>
      </c>
      <c r="E15" s="12" t="n">
        <v>1</v>
      </c>
      <c r="F15" s="3" t="s">
        <v>70</v>
      </c>
      <c r="G15" s="13" t="s">
        <v>43</v>
      </c>
      <c r="H15" s="10" t="s">
        <v>44</v>
      </c>
      <c r="I15" s="10"/>
      <c r="J15" s="10"/>
      <c r="K15" s="10"/>
      <c r="L15" s="3"/>
    </row>
    <row r="16" customFormat="false" ht="15" hidden="false" customHeight="false" outlineLevel="0" collapsed="false">
      <c r="A16" s="14" t="n">
        <v>14</v>
      </c>
      <c r="B16" s="15" t="s">
        <v>62</v>
      </c>
      <c r="C16" s="15" t="s">
        <v>71</v>
      </c>
      <c r="D16" s="18" t="s">
        <v>72</v>
      </c>
      <c r="E16" s="19" t="n">
        <v>3</v>
      </c>
      <c r="F16" s="15" t="s">
        <v>73</v>
      </c>
      <c r="G16" s="13" t="s">
        <v>43</v>
      </c>
      <c r="H16" s="14" t="s">
        <v>44</v>
      </c>
      <c r="I16" s="14"/>
      <c r="J16" s="14"/>
      <c r="K16" s="14"/>
      <c r="L16" s="15"/>
    </row>
    <row r="17" customFormat="false" ht="15" hidden="false" customHeight="false" outlineLevel="0" collapsed="false">
      <c r="A17" s="10" t="n">
        <v>15</v>
      </c>
      <c r="B17" s="3" t="s">
        <v>74</v>
      </c>
      <c r="C17" s="3" t="s">
        <v>75</v>
      </c>
      <c r="D17" s="11" t="s">
        <v>41</v>
      </c>
      <c r="E17" s="12" t="n">
        <v>1</v>
      </c>
      <c r="F17" s="3" t="s">
        <v>76</v>
      </c>
      <c r="G17" s="13" t="s">
        <v>43</v>
      </c>
      <c r="H17" s="10" t="s">
        <v>44</v>
      </c>
      <c r="I17" s="10"/>
      <c r="J17" s="10"/>
      <c r="K17" s="10"/>
      <c r="L17" s="3"/>
    </row>
    <row r="18" customFormat="false" ht="15" hidden="false" customHeight="false" outlineLevel="0" collapsed="false">
      <c r="A18" s="14" t="n">
        <v>16</v>
      </c>
      <c r="B18" s="15" t="s">
        <v>74</v>
      </c>
      <c r="C18" s="15" t="s">
        <v>77</v>
      </c>
      <c r="D18" s="16" t="s">
        <v>50</v>
      </c>
      <c r="E18" s="12" t="n">
        <v>1</v>
      </c>
      <c r="F18" s="15" t="s">
        <v>78</v>
      </c>
      <c r="G18" s="13" t="s">
        <v>43</v>
      </c>
      <c r="H18" s="14" t="s">
        <v>44</v>
      </c>
      <c r="I18" s="14"/>
      <c r="J18" s="14"/>
      <c r="K18" s="14"/>
      <c r="L18" s="15"/>
    </row>
    <row r="19" customFormat="false" ht="15" hidden="false" customHeight="false" outlineLevel="0" collapsed="false">
      <c r="A19" s="10" t="n">
        <v>17</v>
      </c>
      <c r="B19" s="3" t="s">
        <v>74</v>
      </c>
      <c r="C19" s="3" t="s">
        <v>79</v>
      </c>
      <c r="D19" s="16" t="s">
        <v>50</v>
      </c>
      <c r="E19" s="17" t="n">
        <v>2</v>
      </c>
      <c r="F19" s="3" t="s">
        <v>80</v>
      </c>
      <c r="G19" s="13" t="s">
        <v>43</v>
      </c>
      <c r="H19" s="10" t="s">
        <v>44</v>
      </c>
      <c r="I19" s="10"/>
      <c r="J19" s="10"/>
      <c r="K19" s="10"/>
      <c r="L19" s="3"/>
    </row>
    <row r="20" customFormat="false" ht="15" hidden="false" customHeight="false" outlineLevel="0" collapsed="false">
      <c r="A20" s="14" t="n">
        <v>18</v>
      </c>
      <c r="B20" s="15" t="s">
        <v>74</v>
      </c>
      <c r="C20" s="15" t="s">
        <v>81</v>
      </c>
      <c r="D20" s="16" t="s">
        <v>50</v>
      </c>
      <c r="E20" s="17" t="n">
        <v>2</v>
      </c>
      <c r="F20" s="15" t="s">
        <v>82</v>
      </c>
      <c r="G20" s="13" t="s">
        <v>43</v>
      </c>
      <c r="H20" s="14" t="s">
        <v>44</v>
      </c>
      <c r="I20" s="14"/>
      <c r="J20" s="14"/>
      <c r="K20" s="14"/>
      <c r="L20" s="15"/>
    </row>
    <row r="21" customFormat="false" ht="15" hidden="false" customHeight="false" outlineLevel="0" collapsed="false">
      <c r="A21" s="10" t="n">
        <v>19</v>
      </c>
      <c r="B21" s="3" t="s">
        <v>74</v>
      </c>
      <c r="C21" s="3" t="s">
        <v>83</v>
      </c>
      <c r="D21" s="18" t="s">
        <v>72</v>
      </c>
      <c r="E21" s="17" t="n">
        <v>2</v>
      </c>
      <c r="F21" s="3" t="s">
        <v>84</v>
      </c>
      <c r="G21" s="13" t="s">
        <v>43</v>
      </c>
      <c r="H21" s="10" t="s">
        <v>44</v>
      </c>
      <c r="I21" s="10"/>
      <c r="J21" s="10"/>
      <c r="K21" s="10"/>
      <c r="L21" s="3"/>
    </row>
    <row r="22" customFormat="false" ht="15" hidden="false" customHeight="false" outlineLevel="0" collapsed="false">
      <c r="A22" s="14" t="n">
        <v>20</v>
      </c>
      <c r="B22" s="15" t="s">
        <v>74</v>
      </c>
      <c r="C22" s="15" t="s">
        <v>85</v>
      </c>
      <c r="D22" s="18" t="s">
        <v>72</v>
      </c>
      <c r="E22" s="19" t="n">
        <v>3</v>
      </c>
      <c r="F22" s="15" t="s">
        <v>86</v>
      </c>
      <c r="G22" s="13" t="s">
        <v>43</v>
      </c>
      <c r="H22" s="14" t="s">
        <v>44</v>
      </c>
      <c r="I22" s="14"/>
      <c r="J22" s="14"/>
      <c r="K22" s="14"/>
      <c r="L22" s="15"/>
    </row>
    <row r="23" customFormat="false" ht="15" hidden="false" customHeight="false" outlineLevel="0" collapsed="false">
      <c r="A23" s="10" t="n">
        <v>21</v>
      </c>
      <c r="B23" s="3" t="s">
        <v>87</v>
      </c>
      <c r="C23" s="3" t="s">
        <v>88</v>
      </c>
      <c r="D23" s="11" t="s">
        <v>41</v>
      </c>
      <c r="E23" s="12" t="n">
        <v>1</v>
      </c>
      <c r="F23" s="3" t="s">
        <v>89</v>
      </c>
      <c r="G23" s="13" t="s">
        <v>43</v>
      </c>
      <c r="H23" s="10" t="s">
        <v>44</v>
      </c>
      <c r="I23" s="10"/>
      <c r="J23" s="10"/>
      <c r="K23" s="10"/>
      <c r="L23" s="3"/>
    </row>
    <row r="24" customFormat="false" ht="15" hidden="false" customHeight="false" outlineLevel="0" collapsed="false">
      <c r="A24" s="14" t="n">
        <v>22</v>
      </c>
      <c r="B24" s="15" t="s">
        <v>87</v>
      </c>
      <c r="C24" s="15" t="s">
        <v>90</v>
      </c>
      <c r="D24" s="16" t="s">
        <v>50</v>
      </c>
      <c r="E24" s="12" t="n">
        <v>1</v>
      </c>
      <c r="F24" s="15" t="s">
        <v>91</v>
      </c>
      <c r="G24" s="13" t="s">
        <v>43</v>
      </c>
      <c r="H24" s="14" t="s">
        <v>44</v>
      </c>
      <c r="I24" s="14"/>
      <c r="J24" s="14"/>
      <c r="K24" s="14"/>
      <c r="L24" s="15"/>
    </row>
    <row r="25" customFormat="false" ht="15" hidden="false" customHeight="false" outlineLevel="0" collapsed="false">
      <c r="A25" s="10" t="n">
        <v>23</v>
      </c>
      <c r="B25" s="3" t="s">
        <v>87</v>
      </c>
      <c r="C25" s="3" t="s">
        <v>92</v>
      </c>
      <c r="D25" s="16" t="s">
        <v>50</v>
      </c>
      <c r="E25" s="12" t="n">
        <v>1</v>
      </c>
      <c r="F25" s="3" t="s">
        <v>93</v>
      </c>
      <c r="G25" s="13" t="s">
        <v>43</v>
      </c>
      <c r="H25" s="10" t="s">
        <v>44</v>
      </c>
      <c r="I25" s="10"/>
      <c r="J25" s="10"/>
      <c r="K25" s="10"/>
      <c r="L25" s="3"/>
    </row>
    <row r="26" customFormat="false" ht="15" hidden="false" customHeight="false" outlineLevel="0" collapsed="false">
      <c r="A26" s="14" t="n">
        <v>24</v>
      </c>
      <c r="B26" s="15" t="s">
        <v>87</v>
      </c>
      <c r="C26" s="15" t="s">
        <v>94</v>
      </c>
      <c r="D26" s="16" t="s">
        <v>50</v>
      </c>
      <c r="E26" s="12" t="n">
        <v>1</v>
      </c>
      <c r="F26" s="15" t="s">
        <v>95</v>
      </c>
      <c r="G26" s="13" t="s">
        <v>43</v>
      </c>
      <c r="H26" s="14" t="s">
        <v>44</v>
      </c>
      <c r="I26" s="14"/>
      <c r="J26" s="14"/>
      <c r="K26" s="14"/>
      <c r="L26" s="15"/>
    </row>
    <row r="27" customFormat="false" ht="15" hidden="false" customHeight="false" outlineLevel="0" collapsed="false">
      <c r="A27" s="10" t="n">
        <v>25</v>
      </c>
      <c r="B27" s="3" t="s">
        <v>87</v>
      </c>
      <c r="C27" s="3" t="s">
        <v>96</v>
      </c>
      <c r="D27" s="16" t="s">
        <v>50</v>
      </c>
      <c r="E27" s="12" t="n">
        <v>1</v>
      </c>
      <c r="F27" s="3" t="s">
        <v>97</v>
      </c>
      <c r="G27" s="13" t="s">
        <v>43</v>
      </c>
      <c r="H27" s="10" t="s">
        <v>44</v>
      </c>
      <c r="I27" s="10"/>
      <c r="J27" s="10"/>
      <c r="K27" s="10"/>
      <c r="L27" s="3"/>
    </row>
    <row r="28" customFormat="false" ht="15" hidden="false" customHeight="false" outlineLevel="0" collapsed="false">
      <c r="A28" s="14" t="n">
        <v>26</v>
      </c>
      <c r="B28" s="15" t="s">
        <v>87</v>
      </c>
      <c r="C28" s="15" t="s">
        <v>98</v>
      </c>
      <c r="D28" s="16" t="s">
        <v>50</v>
      </c>
      <c r="E28" s="17" t="n">
        <v>2</v>
      </c>
      <c r="F28" s="15" t="s">
        <v>99</v>
      </c>
      <c r="G28" s="13" t="s">
        <v>43</v>
      </c>
      <c r="H28" s="14" t="s">
        <v>44</v>
      </c>
      <c r="I28" s="14"/>
      <c r="J28" s="14"/>
      <c r="K28" s="14"/>
      <c r="L28" s="15"/>
    </row>
    <row r="29" customFormat="false" ht="15" hidden="false" customHeight="false" outlineLevel="0" collapsed="false">
      <c r="A29" s="10" t="n">
        <v>27</v>
      </c>
      <c r="B29" s="3" t="s">
        <v>87</v>
      </c>
      <c r="C29" s="3" t="s">
        <v>100</v>
      </c>
      <c r="D29" s="18" t="s">
        <v>72</v>
      </c>
      <c r="E29" s="19" t="n">
        <v>3</v>
      </c>
      <c r="F29" s="3" t="s">
        <v>97</v>
      </c>
      <c r="G29" s="13" t="s">
        <v>43</v>
      </c>
      <c r="H29" s="10" t="s">
        <v>44</v>
      </c>
      <c r="I29" s="10"/>
      <c r="J29" s="10"/>
      <c r="K29" s="10"/>
      <c r="L29" s="3"/>
    </row>
    <row r="30" customFormat="false" ht="15" hidden="false" customHeight="false" outlineLevel="0" collapsed="false">
      <c r="A30" s="14" t="n">
        <v>28</v>
      </c>
      <c r="B30" s="15" t="s">
        <v>101</v>
      </c>
      <c r="C30" s="15" t="s">
        <v>101</v>
      </c>
      <c r="D30" s="11" t="s">
        <v>41</v>
      </c>
      <c r="E30" s="12" t="n">
        <v>1</v>
      </c>
      <c r="F30" s="15" t="s">
        <v>102</v>
      </c>
      <c r="G30" s="13" t="s">
        <v>43</v>
      </c>
      <c r="H30" s="14" t="s">
        <v>44</v>
      </c>
      <c r="I30" s="14"/>
      <c r="J30" s="14"/>
      <c r="K30" s="14"/>
      <c r="L30" s="15"/>
    </row>
    <row r="31" customFormat="false" ht="15" hidden="false" customHeight="false" outlineLevel="0" collapsed="false">
      <c r="A31" s="10" t="n">
        <v>29</v>
      </c>
      <c r="B31" s="3" t="s">
        <v>101</v>
      </c>
      <c r="C31" s="3" t="s">
        <v>103</v>
      </c>
      <c r="D31" s="16" t="s">
        <v>50</v>
      </c>
      <c r="E31" s="12" t="n">
        <v>1</v>
      </c>
      <c r="F31" s="3" t="s">
        <v>104</v>
      </c>
      <c r="G31" s="13" t="s">
        <v>43</v>
      </c>
      <c r="H31" s="10" t="s">
        <v>44</v>
      </c>
      <c r="I31" s="10"/>
      <c r="J31" s="10"/>
      <c r="K31" s="10"/>
      <c r="L31" s="3"/>
    </row>
    <row r="32" customFormat="false" ht="15" hidden="false" customHeight="false" outlineLevel="0" collapsed="false">
      <c r="A32" s="14" t="n">
        <v>30</v>
      </c>
      <c r="B32" s="15" t="s">
        <v>101</v>
      </c>
      <c r="C32" s="15" t="s">
        <v>105</v>
      </c>
      <c r="D32" s="16" t="s">
        <v>50</v>
      </c>
      <c r="E32" s="12" t="n">
        <v>1</v>
      </c>
      <c r="F32" s="15" t="s">
        <v>106</v>
      </c>
      <c r="G32" s="13" t="s">
        <v>43</v>
      </c>
      <c r="H32" s="14" t="s">
        <v>44</v>
      </c>
      <c r="I32" s="14"/>
      <c r="J32" s="14"/>
      <c r="K32" s="14"/>
      <c r="L32" s="15"/>
    </row>
    <row r="33" customFormat="false" ht="15" hidden="false" customHeight="false" outlineLevel="0" collapsed="false">
      <c r="A33" s="10" t="n">
        <v>31</v>
      </c>
      <c r="B33" s="3" t="s">
        <v>101</v>
      </c>
      <c r="C33" s="3" t="s">
        <v>107</v>
      </c>
      <c r="D33" s="16" t="s">
        <v>50</v>
      </c>
      <c r="E33" s="12" t="n">
        <v>1</v>
      </c>
      <c r="F33" s="3" t="s">
        <v>108</v>
      </c>
      <c r="G33" s="13" t="s">
        <v>43</v>
      </c>
      <c r="H33" s="10" t="s">
        <v>44</v>
      </c>
      <c r="I33" s="10"/>
      <c r="J33" s="10"/>
      <c r="K33" s="10"/>
      <c r="L33" s="3"/>
    </row>
    <row r="34" customFormat="false" ht="15" hidden="false" customHeight="false" outlineLevel="0" collapsed="false">
      <c r="A34" s="14" t="n">
        <v>32</v>
      </c>
      <c r="B34" s="15" t="s">
        <v>101</v>
      </c>
      <c r="C34" s="15" t="s">
        <v>109</v>
      </c>
      <c r="D34" s="16" t="s">
        <v>50</v>
      </c>
      <c r="E34" s="12" t="n">
        <v>1</v>
      </c>
      <c r="F34" s="15" t="s">
        <v>108</v>
      </c>
      <c r="G34" s="13" t="s">
        <v>43</v>
      </c>
      <c r="H34" s="14" t="s">
        <v>44</v>
      </c>
      <c r="I34" s="14"/>
      <c r="J34" s="14"/>
      <c r="K34" s="14"/>
      <c r="L34" s="15"/>
    </row>
    <row r="35" customFormat="false" ht="15" hidden="false" customHeight="false" outlineLevel="0" collapsed="false">
      <c r="A35" s="10" t="n">
        <v>33</v>
      </c>
      <c r="B35" s="3" t="s">
        <v>101</v>
      </c>
      <c r="C35" s="3" t="s">
        <v>110</v>
      </c>
      <c r="D35" s="16" t="s">
        <v>50</v>
      </c>
      <c r="E35" s="17" t="n">
        <v>2</v>
      </c>
      <c r="F35" s="3" t="s">
        <v>111</v>
      </c>
      <c r="G35" s="13" t="s">
        <v>43</v>
      </c>
      <c r="H35" s="10" t="s">
        <v>44</v>
      </c>
      <c r="I35" s="10"/>
      <c r="J35" s="10"/>
      <c r="K35" s="10"/>
      <c r="L35" s="3"/>
    </row>
    <row r="36" customFormat="false" ht="15" hidden="false" customHeight="false" outlineLevel="0" collapsed="false">
      <c r="A36" s="14" t="n">
        <v>34</v>
      </c>
      <c r="B36" s="15" t="s">
        <v>101</v>
      </c>
      <c r="C36" s="15" t="s">
        <v>112</v>
      </c>
      <c r="D36" s="18" t="s">
        <v>72</v>
      </c>
      <c r="E36" s="19" t="n">
        <v>3</v>
      </c>
      <c r="F36" s="15" t="s">
        <v>113</v>
      </c>
      <c r="G36" s="13" t="s">
        <v>43</v>
      </c>
      <c r="H36" s="14" t="s">
        <v>44</v>
      </c>
      <c r="I36" s="14"/>
      <c r="J36" s="14"/>
      <c r="K36" s="14"/>
      <c r="L36" s="15"/>
    </row>
    <row r="37" customFormat="false" ht="15" hidden="false" customHeight="false" outlineLevel="0" collapsed="false">
      <c r="A37" s="10" t="n">
        <v>35</v>
      </c>
      <c r="B37" s="3" t="s">
        <v>114</v>
      </c>
      <c r="C37" s="3" t="s">
        <v>115</v>
      </c>
      <c r="D37" s="11" t="s">
        <v>41</v>
      </c>
      <c r="E37" s="12" t="n">
        <v>1</v>
      </c>
      <c r="F37" s="3" t="s">
        <v>116</v>
      </c>
      <c r="G37" s="13" t="s">
        <v>43</v>
      </c>
      <c r="H37" s="10" t="s">
        <v>44</v>
      </c>
      <c r="I37" s="10"/>
      <c r="J37" s="10"/>
      <c r="K37" s="10"/>
      <c r="L37" s="3"/>
    </row>
    <row r="38" customFormat="false" ht="15" hidden="false" customHeight="false" outlineLevel="0" collapsed="false">
      <c r="A38" s="14" t="n">
        <v>36</v>
      </c>
      <c r="B38" s="15" t="s">
        <v>114</v>
      </c>
      <c r="C38" s="15" t="s">
        <v>117</v>
      </c>
      <c r="D38" s="11" t="s">
        <v>41</v>
      </c>
      <c r="E38" s="12" t="n">
        <v>1</v>
      </c>
      <c r="F38" s="15" t="s">
        <v>118</v>
      </c>
      <c r="G38" s="13" t="s">
        <v>43</v>
      </c>
      <c r="H38" s="14" t="s">
        <v>44</v>
      </c>
      <c r="I38" s="14"/>
      <c r="J38" s="14"/>
      <c r="K38" s="14"/>
      <c r="L38" s="15"/>
    </row>
    <row r="39" customFormat="false" ht="15" hidden="false" customHeight="false" outlineLevel="0" collapsed="false">
      <c r="A39" s="10" t="n">
        <v>37</v>
      </c>
      <c r="B39" s="3" t="s">
        <v>114</v>
      </c>
      <c r="C39" s="3" t="s">
        <v>119</v>
      </c>
      <c r="D39" s="16" t="s">
        <v>50</v>
      </c>
      <c r="E39" s="12" t="n">
        <v>1</v>
      </c>
      <c r="F39" s="3" t="s">
        <v>120</v>
      </c>
      <c r="G39" s="13" t="s">
        <v>43</v>
      </c>
      <c r="H39" s="10" t="s">
        <v>44</v>
      </c>
      <c r="I39" s="10"/>
      <c r="J39" s="10"/>
      <c r="K39" s="10"/>
      <c r="L39" s="3"/>
    </row>
    <row r="40" customFormat="false" ht="15" hidden="false" customHeight="false" outlineLevel="0" collapsed="false">
      <c r="A40" s="14" t="n">
        <v>38</v>
      </c>
      <c r="B40" s="15" t="s">
        <v>114</v>
      </c>
      <c r="C40" s="15" t="s">
        <v>121</v>
      </c>
      <c r="D40" s="16" t="s">
        <v>50</v>
      </c>
      <c r="E40" s="12" t="n">
        <v>1</v>
      </c>
      <c r="F40" s="15" t="s">
        <v>122</v>
      </c>
      <c r="G40" s="13" t="s">
        <v>43</v>
      </c>
      <c r="H40" s="14" t="s">
        <v>44</v>
      </c>
      <c r="I40" s="14"/>
      <c r="J40" s="14"/>
      <c r="K40" s="14"/>
      <c r="L40" s="15"/>
    </row>
    <row r="41" customFormat="false" ht="15" hidden="false" customHeight="false" outlineLevel="0" collapsed="false">
      <c r="A41" s="10" t="n">
        <v>39</v>
      </c>
      <c r="B41" s="3" t="s">
        <v>114</v>
      </c>
      <c r="C41" s="3" t="s">
        <v>123</v>
      </c>
      <c r="D41" s="16" t="s">
        <v>50</v>
      </c>
      <c r="E41" s="17" t="n">
        <v>2</v>
      </c>
      <c r="F41" s="3" t="s">
        <v>124</v>
      </c>
      <c r="G41" s="13" t="s">
        <v>43</v>
      </c>
      <c r="H41" s="10" t="s">
        <v>44</v>
      </c>
      <c r="I41" s="10"/>
      <c r="J41" s="10"/>
      <c r="K41" s="10"/>
      <c r="L41" s="3"/>
    </row>
    <row r="42" customFormat="false" ht="15" hidden="false" customHeight="false" outlineLevel="0" collapsed="false">
      <c r="A42" s="14" t="n">
        <v>40</v>
      </c>
      <c r="B42" s="15" t="s">
        <v>114</v>
      </c>
      <c r="C42" s="15" t="s">
        <v>125</v>
      </c>
      <c r="D42" s="16" t="s">
        <v>50</v>
      </c>
      <c r="E42" s="12" t="n">
        <v>1</v>
      </c>
      <c r="F42" s="15" t="s">
        <v>126</v>
      </c>
      <c r="G42" s="13" t="s">
        <v>43</v>
      </c>
      <c r="H42" s="14" t="s">
        <v>44</v>
      </c>
      <c r="I42" s="14"/>
      <c r="J42" s="14"/>
      <c r="K42" s="14"/>
      <c r="L42" s="15"/>
    </row>
    <row r="43" customFormat="false" ht="15" hidden="false" customHeight="false" outlineLevel="0" collapsed="false">
      <c r="A43" s="10" t="n">
        <v>41</v>
      </c>
      <c r="B43" s="3" t="s">
        <v>114</v>
      </c>
      <c r="C43" s="3" t="s">
        <v>127</v>
      </c>
      <c r="D43" s="11" t="s">
        <v>41</v>
      </c>
      <c r="E43" s="12" t="n">
        <v>1</v>
      </c>
      <c r="F43" s="3" t="s">
        <v>128</v>
      </c>
      <c r="G43" s="13" t="s">
        <v>43</v>
      </c>
      <c r="H43" s="10" t="s">
        <v>44</v>
      </c>
      <c r="I43" s="10"/>
      <c r="J43" s="10"/>
      <c r="K43" s="10"/>
      <c r="L43" s="3"/>
    </row>
    <row r="44" customFormat="false" ht="15" hidden="false" customHeight="false" outlineLevel="0" collapsed="false">
      <c r="A44" s="14" t="n">
        <v>42</v>
      </c>
      <c r="B44" s="15" t="s">
        <v>114</v>
      </c>
      <c r="C44" s="15" t="s">
        <v>129</v>
      </c>
      <c r="D44" s="16" t="s">
        <v>50</v>
      </c>
      <c r="E44" s="17" t="n">
        <v>2</v>
      </c>
      <c r="F44" s="15" t="s">
        <v>130</v>
      </c>
      <c r="G44" s="13" t="s">
        <v>43</v>
      </c>
      <c r="H44" s="14" t="s">
        <v>44</v>
      </c>
      <c r="I44" s="14"/>
      <c r="J44" s="14"/>
      <c r="K44" s="14"/>
      <c r="L44" s="15"/>
    </row>
    <row r="45" customFormat="false" ht="15" hidden="false" customHeight="false" outlineLevel="0" collapsed="false">
      <c r="A45" s="10" t="n">
        <v>43</v>
      </c>
      <c r="B45" s="3" t="s">
        <v>114</v>
      </c>
      <c r="C45" s="3" t="s">
        <v>131</v>
      </c>
      <c r="D45" s="16" t="s">
        <v>50</v>
      </c>
      <c r="E45" s="12" t="n">
        <v>1</v>
      </c>
      <c r="F45" s="3" t="s">
        <v>132</v>
      </c>
      <c r="G45" s="13" t="s">
        <v>43</v>
      </c>
      <c r="H45" s="10" t="s">
        <v>44</v>
      </c>
      <c r="I45" s="10"/>
      <c r="J45" s="10"/>
      <c r="K45" s="10"/>
      <c r="L45" s="3"/>
    </row>
    <row r="46" customFormat="false" ht="15" hidden="false" customHeight="false" outlineLevel="0" collapsed="false">
      <c r="A46" s="14" t="n">
        <v>44</v>
      </c>
      <c r="B46" s="15" t="s">
        <v>114</v>
      </c>
      <c r="C46" s="15" t="s">
        <v>133</v>
      </c>
      <c r="D46" s="18" t="s">
        <v>72</v>
      </c>
      <c r="E46" s="17" t="n">
        <v>2</v>
      </c>
      <c r="F46" s="15" t="s">
        <v>134</v>
      </c>
      <c r="G46" s="13" t="s">
        <v>43</v>
      </c>
      <c r="H46" s="14" t="s">
        <v>44</v>
      </c>
      <c r="I46" s="14"/>
      <c r="J46" s="14"/>
      <c r="K46" s="14"/>
      <c r="L46" s="15"/>
    </row>
    <row r="47" customFormat="false" ht="15" hidden="false" customHeight="false" outlineLevel="0" collapsed="false">
      <c r="A47" s="10" t="n">
        <v>45</v>
      </c>
      <c r="B47" s="3" t="s">
        <v>114</v>
      </c>
      <c r="C47" s="3" t="s">
        <v>135</v>
      </c>
      <c r="D47" s="18" t="s">
        <v>72</v>
      </c>
      <c r="E47" s="19" t="n">
        <v>3</v>
      </c>
      <c r="F47" s="3" t="s">
        <v>136</v>
      </c>
      <c r="G47" s="13" t="s">
        <v>43</v>
      </c>
      <c r="H47" s="10" t="s">
        <v>44</v>
      </c>
      <c r="I47" s="10"/>
      <c r="J47" s="10"/>
      <c r="K47" s="10"/>
      <c r="L47" s="3"/>
    </row>
    <row r="48" customFormat="false" ht="15" hidden="false" customHeight="false" outlineLevel="0" collapsed="false">
      <c r="A48" s="14" t="n">
        <v>46</v>
      </c>
      <c r="B48" s="15" t="s">
        <v>137</v>
      </c>
      <c r="C48" s="15" t="s">
        <v>138</v>
      </c>
      <c r="D48" s="11" t="s">
        <v>41</v>
      </c>
      <c r="E48" s="12" t="n">
        <v>1</v>
      </c>
      <c r="F48" s="15" t="s">
        <v>139</v>
      </c>
      <c r="G48" s="13" t="s">
        <v>43</v>
      </c>
      <c r="H48" s="14" t="s">
        <v>44</v>
      </c>
      <c r="I48" s="14"/>
      <c r="J48" s="14"/>
      <c r="K48" s="14"/>
      <c r="L48" s="15"/>
    </row>
    <row r="49" customFormat="false" ht="15" hidden="false" customHeight="false" outlineLevel="0" collapsed="false">
      <c r="A49" s="10" t="n">
        <v>47</v>
      </c>
      <c r="B49" s="3" t="s">
        <v>137</v>
      </c>
      <c r="C49" s="3" t="s">
        <v>140</v>
      </c>
      <c r="D49" s="11" t="s">
        <v>41</v>
      </c>
      <c r="E49" s="12" t="n">
        <v>1</v>
      </c>
      <c r="F49" s="3" t="s">
        <v>141</v>
      </c>
      <c r="G49" s="13" t="s">
        <v>43</v>
      </c>
      <c r="H49" s="10" t="s">
        <v>44</v>
      </c>
      <c r="I49" s="10"/>
      <c r="J49" s="10"/>
      <c r="K49" s="10"/>
      <c r="L49" s="3"/>
    </row>
    <row r="50" customFormat="false" ht="15" hidden="false" customHeight="false" outlineLevel="0" collapsed="false">
      <c r="A50" s="14" t="n">
        <v>48</v>
      </c>
      <c r="B50" s="15" t="s">
        <v>137</v>
      </c>
      <c r="C50" s="15" t="s">
        <v>142</v>
      </c>
      <c r="D50" s="11" t="s">
        <v>41</v>
      </c>
      <c r="E50" s="12" t="n">
        <v>1</v>
      </c>
      <c r="F50" s="15" t="s">
        <v>143</v>
      </c>
      <c r="G50" s="13" t="s">
        <v>43</v>
      </c>
      <c r="H50" s="14" t="s">
        <v>44</v>
      </c>
      <c r="I50" s="14"/>
      <c r="J50" s="14"/>
      <c r="K50" s="14"/>
      <c r="L50" s="15"/>
    </row>
    <row r="51" customFormat="false" ht="15" hidden="false" customHeight="false" outlineLevel="0" collapsed="false">
      <c r="A51" s="10" t="n">
        <v>49</v>
      </c>
      <c r="B51" s="3" t="s">
        <v>137</v>
      </c>
      <c r="C51" s="3" t="s">
        <v>144</v>
      </c>
      <c r="D51" s="11" t="s">
        <v>41</v>
      </c>
      <c r="E51" s="12" t="n">
        <v>1</v>
      </c>
      <c r="F51" s="3" t="s">
        <v>145</v>
      </c>
      <c r="G51" s="13" t="s">
        <v>43</v>
      </c>
      <c r="H51" s="10" t="s">
        <v>44</v>
      </c>
      <c r="I51" s="10"/>
      <c r="J51" s="10"/>
      <c r="K51" s="10"/>
      <c r="L51" s="3"/>
    </row>
    <row r="52" customFormat="false" ht="15" hidden="false" customHeight="false" outlineLevel="0" collapsed="false">
      <c r="A52" s="14" t="n">
        <v>50</v>
      </c>
      <c r="B52" s="15" t="s">
        <v>137</v>
      </c>
      <c r="C52" s="15" t="s">
        <v>146</v>
      </c>
      <c r="D52" s="11" t="s">
        <v>41</v>
      </c>
      <c r="E52" s="12" t="n">
        <v>1</v>
      </c>
      <c r="F52" s="15" t="s">
        <v>147</v>
      </c>
      <c r="G52" s="13" t="s">
        <v>43</v>
      </c>
      <c r="H52" s="14" t="s">
        <v>44</v>
      </c>
      <c r="I52" s="14"/>
      <c r="J52" s="14"/>
      <c r="K52" s="14"/>
      <c r="L52" s="15"/>
    </row>
    <row r="53" customFormat="false" ht="15" hidden="false" customHeight="false" outlineLevel="0" collapsed="false">
      <c r="A53" s="10" t="n">
        <v>51</v>
      </c>
      <c r="B53" s="3" t="s">
        <v>137</v>
      </c>
      <c r="C53" s="3" t="s">
        <v>148</v>
      </c>
      <c r="D53" s="11" t="s">
        <v>41</v>
      </c>
      <c r="E53" s="12" t="n">
        <v>1</v>
      </c>
      <c r="F53" s="3" t="s">
        <v>149</v>
      </c>
      <c r="G53" s="13" t="s">
        <v>43</v>
      </c>
      <c r="H53" s="10" t="s">
        <v>44</v>
      </c>
      <c r="I53" s="10"/>
      <c r="J53" s="10"/>
      <c r="K53" s="10"/>
      <c r="L53" s="3"/>
    </row>
    <row r="54" customFormat="false" ht="15" hidden="false" customHeight="false" outlineLevel="0" collapsed="false">
      <c r="A54" s="14" t="n">
        <v>52</v>
      </c>
      <c r="B54" s="15" t="s">
        <v>137</v>
      </c>
      <c r="C54" s="15" t="s">
        <v>150</v>
      </c>
      <c r="D54" s="16" t="s">
        <v>50</v>
      </c>
      <c r="E54" s="12" t="n">
        <v>1</v>
      </c>
      <c r="F54" s="15" t="s">
        <v>151</v>
      </c>
      <c r="G54" s="13" t="s">
        <v>43</v>
      </c>
      <c r="H54" s="14" t="s">
        <v>44</v>
      </c>
      <c r="I54" s="14"/>
      <c r="J54" s="14"/>
      <c r="K54" s="14"/>
      <c r="L54" s="15"/>
    </row>
    <row r="55" customFormat="false" ht="15" hidden="false" customHeight="false" outlineLevel="0" collapsed="false">
      <c r="A55" s="10" t="n">
        <v>53</v>
      </c>
      <c r="B55" s="3" t="s">
        <v>137</v>
      </c>
      <c r="C55" s="3" t="s">
        <v>152</v>
      </c>
      <c r="D55" s="16" t="s">
        <v>50</v>
      </c>
      <c r="E55" s="12" t="n">
        <v>1</v>
      </c>
      <c r="F55" s="3" t="s">
        <v>153</v>
      </c>
      <c r="G55" s="13" t="s">
        <v>43</v>
      </c>
      <c r="H55" s="10" t="s">
        <v>44</v>
      </c>
      <c r="I55" s="10"/>
      <c r="J55" s="10"/>
      <c r="K55" s="10"/>
      <c r="L55" s="3"/>
    </row>
    <row r="56" customFormat="false" ht="15" hidden="false" customHeight="false" outlineLevel="0" collapsed="false">
      <c r="A56" s="14" t="n">
        <v>54</v>
      </c>
      <c r="B56" s="15" t="s">
        <v>137</v>
      </c>
      <c r="C56" s="15" t="s">
        <v>154</v>
      </c>
      <c r="D56" s="16" t="s">
        <v>50</v>
      </c>
      <c r="E56" s="12" t="n">
        <v>1</v>
      </c>
      <c r="F56" s="15" t="s">
        <v>155</v>
      </c>
      <c r="G56" s="13" t="s">
        <v>43</v>
      </c>
      <c r="H56" s="14" t="s">
        <v>44</v>
      </c>
      <c r="I56" s="14"/>
      <c r="J56" s="14"/>
      <c r="K56" s="14"/>
      <c r="L56" s="15"/>
    </row>
    <row r="57" customFormat="false" ht="15" hidden="false" customHeight="false" outlineLevel="0" collapsed="false">
      <c r="A57" s="10" t="n">
        <v>55</v>
      </c>
      <c r="B57" s="3" t="s">
        <v>137</v>
      </c>
      <c r="C57" s="3" t="s">
        <v>156</v>
      </c>
      <c r="D57" s="16" t="s">
        <v>50</v>
      </c>
      <c r="E57" s="17" t="n">
        <v>2</v>
      </c>
      <c r="F57" s="3" t="s">
        <v>157</v>
      </c>
      <c r="G57" s="13" t="s">
        <v>43</v>
      </c>
      <c r="H57" s="10" t="s">
        <v>44</v>
      </c>
      <c r="I57" s="10"/>
      <c r="J57" s="10"/>
      <c r="K57" s="10"/>
      <c r="L57" s="3"/>
    </row>
    <row r="58" customFormat="false" ht="15" hidden="false" customHeight="false" outlineLevel="0" collapsed="false">
      <c r="A58" s="14" t="n">
        <v>56</v>
      </c>
      <c r="B58" s="15" t="s">
        <v>137</v>
      </c>
      <c r="C58" s="15" t="s">
        <v>158</v>
      </c>
      <c r="D58" s="16" t="s">
        <v>50</v>
      </c>
      <c r="E58" s="12" t="n">
        <v>1</v>
      </c>
      <c r="F58" s="15" t="s">
        <v>159</v>
      </c>
      <c r="G58" s="13" t="s">
        <v>43</v>
      </c>
      <c r="H58" s="14" t="s">
        <v>44</v>
      </c>
      <c r="I58" s="14"/>
      <c r="J58" s="14"/>
      <c r="K58" s="14"/>
      <c r="L58" s="15"/>
    </row>
    <row r="59" customFormat="false" ht="15" hidden="false" customHeight="false" outlineLevel="0" collapsed="false">
      <c r="A59" s="10" t="n">
        <v>57</v>
      </c>
      <c r="B59" s="3" t="s">
        <v>137</v>
      </c>
      <c r="C59" s="3" t="s">
        <v>160</v>
      </c>
      <c r="D59" s="16" t="s">
        <v>50</v>
      </c>
      <c r="E59" s="12" t="n">
        <v>1</v>
      </c>
      <c r="F59" s="3" t="s">
        <v>161</v>
      </c>
      <c r="G59" s="13" t="s">
        <v>43</v>
      </c>
      <c r="H59" s="10" t="s">
        <v>44</v>
      </c>
      <c r="I59" s="10"/>
      <c r="J59" s="10"/>
      <c r="K59" s="10"/>
      <c r="L59" s="3"/>
    </row>
    <row r="60" customFormat="false" ht="15" hidden="false" customHeight="false" outlineLevel="0" collapsed="false">
      <c r="A60" s="14" t="n">
        <v>58</v>
      </c>
      <c r="B60" s="15" t="s">
        <v>137</v>
      </c>
      <c r="C60" s="15" t="s">
        <v>162</v>
      </c>
      <c r="D60" s="16" t="s">
        <v>50</v>
      </c>
      <c r="E60" s="17" t="n">
        <v>2</v>
      </c>
      <c r="F60" s="15" t="s">
        <v>163</v>
      </c>
      <c r="G60" s="13" t="s">
        <v>43</v>
      </c>
      <c r="H60" s="14" t="s">
        <v>44</v>
      </c>
      <c r="I60" s="14"/>
      <c r="J60" s="14"/>
      <c r="K60" s="14"/>
      <c r="L60" s="15"/>
    </row>
    <row r="61" customFormat="false" ht="15" hidden="false" customHeight="false" outlineLevel="0" collapsed="false">
      <c r="A61" s="10" t="n">
        <v>59</v>
      </c>
      <c r="B61" s="3" t="s">
        <v>137</v>
      </c>
      <c r="C61" s="3" t="s">
        <v>164</v>
      </c>
      <c r="D61" s="18" t="s">
        <v>72</v>
      </c>
      <c r="E61" s="17" t="n">
        <v>2</v>
      </c>
      <c r="F61" s="3" t="s">
        <v>165</v>
      </c>
      <c r="G61" s="13" t="s">
        <v>43</v>
      </c>
      <c r="H61" s="10" t="s">
        <v>44</v>
      </c>
      <c r="I61" s="10"/>
      <c r="J61" s="10"/>
      <c r="K61" s="10"/>
      <c r="L61" s="3"/>
    </row>
    <row r="62" customFormat="false" ht="15" hidden="false" customHeight="false" outlineLevel="0" collapsed="false">
      <c r="A62" s="14" t="n">
        <v>60</v>
      </c>
      <c r="B62" s="15" t="s">
        <v>137</v>
      </c>
      <c r="C62" s="15" t="s">
        <v>166</v>
      </c>
      <c r="D62" s="18" t="s">
        <v>72</v>
      </c>
      <c r="E62" s="17" t="n">
        <v>2</v>
      </c>
      <c r="F62" s="15" t="s">
        <v>167</v>
      </c>
      <c r="G62" s="13" t="s">
        <v>43</v>
      </c>
      <c r="H62" s="14" t="s">
        <v>44</v>
      </c>
      <c r="I62" s="14"/>
      <c r="J62" s="14"/>
      <c r="K62" s="14"/>
      <c r="L62" s="15"/>
    </row>
    <row r="63" customFormat="false" ht="15" hidden="false" customHeight="false" outlineLevel="0" collapsed="false">
      <c r="A63" s="10" t="n">
        <v>61</v>
      </c>
      <c r="B63" s="3" t="s">
        <v>168</v>
      </c>
      <c r="C63" s="3" t="s">
        <v>169</v>
      </c>
      <c r="D63" s="16" t="s">
        <v>50</v>
      </c>
      <c r="E63" s="12" t="n">
        <v>1</v>
      </c>
      <c r="F63" s="3" t="s">
        <v>170</v>
      </c>
      <c r="G63" s="13" t="s">
        <v>43</v>
      </c>
      <c r="H63" s="10" t="s">
        <v>44</v>
      </c>
      <c r="I63" s="10"/>
      <c r="J63" s="10"/>
      <c r="K63" s="10"/>
      <c r="L63" s="3"/>
    </row>
    <row r="64" customFormat="false" ht="15" hidden="false" customHeight="false" outlineLevel="0" collapsed="false">
      <c r="A64" s="14" t="n">
        <v>62</v>
      </c>
      <c r="B64" s="15" t="s">
        <v>168</v>
      </c>
      <c r="C64" s="15" t="s">
        <v>171</v>
      </c>
      <c r="D64" s="16" t="s">
        <v>50</v>
      </c>
      <c r="E64" s="17" t="n">
        <v>2</v>
      </c>
      <c r="F64" s="15" t="s">
        <v>172</v>
      </c>
      <c r="G64" s="13" t="s">
        <v>43</v>
      </c>
      <c r="H64" s="14" t="s">
        <v>44</v>
      </c>
      <c r="I64" s="14"/>
      <c r="J64" s="14"/>
      <c r="K64" s="14"/>
      <c r="L64" s="15"/>
    </row>
    <row r="65" customFormat="false" ht="15" hidden="false" customHeight="false" outlineLevel="0" collapsed="false">
      <c r="A65" s="10" t="n">
        <v>63</v>
      </c>
      <c r="B65" s="3" t="s">
        <v>168</v>
      </c>
      <c r="C65" s="3" t="s">
        <v>173</v>
      </c>
      <c r="D65" s="18" t="s">
        <v>72</v>
      </c>
      <c r="E65" s="19" t="n">
        <v>3</v>
      </c>
      <c r="F65" s="3" t="s">
        <v>174</v>
      </c>
      <c r="G65" s="13" t="s">
        <v>43</v>
      </c>
      <c r="H65" s="10" t="s">
        <v>44</v>
      </c>
      <c r="I65" s="10"/>
      <c r="J65" s="10"/>
      <c r="K65" s="10"/>
      <c r="L65" s="3"/>
    </row>
    <row r="66" customFormat="false" ht="15" hidden="false" customHeight="false" outlineLevel="0" collapsed="false">
      <c r="A66" s="14" t="n">
        <v>64</v>
      </c>
      <c r="B66" s="15" t="s">
        <v>175</v>
      </c>
      <c r="C66" s="15" t="s">
        <v>176</v>
      </c>
      <c r="D66" s="11" t="s">
        <v>41</v>
      </c>
      <c r="E66" s="12" t="n">
        <v>1</v>
      </c>
      <c r="F66" s="15" t="s">
        <v>177</v>
      </c>
      <c r="G66" s="13" t="s">
        <v>43</v>
      </c>
      <c r="H66" s="14" t="s">
        <v>44</v>
      </c>
      <c r="I66" s="14"/>
      <c r="J66" s="14"/>
      <c r="K66" s="14"/>
      <c r="L66" s="15"/>
    </row>
    <row r="67" customFormat="false" ht="15" hidden="false" customHeight="false" outlineLevel="0" collapsed="false">
      <c r="A67" s="10" t="n">
        <v>65</v>
      </c>
      <c r="B67" s="3" t="s">
        <v>175</v>
      </c>
      <c r="C67" s="3" t="s">
        <v>178</v>
      </c>
      <c r="D67" s="11" t="s">
        <v>41</v>
      </c>
      <c r="E67" s="12" t="n">
        <v>1</v>
      </c>
      <c r="F67" s="3" t="s">
        <v>179</v>
      </c>
      <c r="G67" s="13" t="s">
        <v>43</v>
      </c>
      <c r="H67" s="10" t="s">
        <v>44</v>
      </c>
      <c r="I67" s="10"/>
      <c r="J67" s="10"/>
      <c r="K67" s="10"/>
      <c r="L67" s="3"/>
    </row>
    <row r="68" customFormat="false" ht="15" hidden="false" customHeight="false" outlineLevel="0" collapsed="false">
      <c r="A68" s="14" t="n">
        <v>66</v>
      </c>
      <c r="B68" s="15" t="s">
        <v>175</v>
      </c>
      <c r="C68" s="15" t="s">
        <v>180</v>
      </c>
      <c r="D68" s="16" t="s">
        <v>50</v>
      </c>
      <c r="E68" s="12" t="n">
        <v>1</v>
      </c>
      <c r="F68" s="15" t="s">
        <v>181</v>
      </c>
      <c r="G68" s="13" t="s">
        <v>43</v>
      </c>
      <c r="H68" s="14" t="s">
        <v>44</v>
      </c>
      <c r="I68" s="14"/>
      <c r="J68" s="14"/>
      <c r="K68" s="14"/>
      <c r="L68" s="15"/>
    </row>
    <row r="69" customFormat="false" ht="15" hidden="false" customHeight="false" outlineLevel="0" collapsed="false">
      <c r="A69" s="10" t="n">
        <v>67</v>
      </c>
      <c r="B69" s="3" t="s">
        <v>175</v>
      </c>
      <c r="C69" s="3" t="s">
        <v>182</v>
      </c>
      <c r="D69" s="16" t="s">
        <v>50</v>
      </c>
      <c r="E69" s="12" t="n">
        <v>1</v>
      </c>
      <c r="F69" s="3" t="s">
        <v>181</v>
      </c>
      <c r="G69" s="13" t="s">
        <v>43</v>
      </c>
      <c r="H69" s="10" t="s">
        <v>44</v>
      </c>
      <c r="I69" s="10"/>
      <c r="J69" s="10"/>
      <c r="K69" s="10"/>
      <c r="L69" s="3"/>
    </row>
    <row r="70" customFormat="false" ht="15" hidden="false" customHeight="false" outlineLevel="0" collapsed="false">
      <c r="A70" s="14" t="n">
        <v>68</v>
      </c>
      <c r="B70" s="15" t="s">
        <v>175</v>
      </c>
      <c r="C70" s="15" t="s">
        <v>183</v>
      </c>
      <c r="D70" s="16" t="s">
        <v>50</v>
      </c>
      <c r="E70" s="17" t="n">
        <v>2</v>
      </c>
      <c r="F70" s="15" t="s">
        <v>184</v>
      </c>
      <c r="G70" s="13" t="s">
        <v>43</v>
      </c>
      <c r="H70" s="14" t="s">
        <v>44</v>
      </c>
      <c r="I70" s="14"/>
      <c r="J70" s="14"/>
      <c r="K70" s="14"/>
      <c r="L70" s="15"/>
    </row>
    <row r="71" customFormat="false" ht="15" hidden="false" customHeight="false" outlineLevel="0" collapsed="false">
      <c r="A71" s="10" t="n">
        <v>69</v>
      </c>
      <c r="B71" s="3" t="s">
        <v>175</v>
      </c>
      <c r="C71" s="3" t="s">
        <v>185</v>
      </c>
      <c r="D71" s="16" t="s">
        <v>50</v>
      </c>
      <c r="E71" s="17" t="n">
        <v>2</v>
      </c>
      <c r="F71" s="3" t="s">
        <v>186</v>
      </c>
      <c r="G71" s="13" t="s">
        <v>43</v>
      </c>
      <c r="H71" s="10" t="s">
        <v>44</v>
      </c>
      <c r="I71" s="10"/>
      <c r="J71" s="10"/>
      <c r="K71" s="10"/>
      <c r="L71" s="3"/>
    </row>
    <row r="72" customFormat="false" ht="15" hidden="false" customHeight="false" outlineLevel="0" collapsed="false">
      <c r="A72" s="14" t="n">
        <v>70</v>
      </c>
      <c r="B72" s="15" t="s">
        <v>175</v>
      </c>
      <c r="C72" s="15" t="s">
        <v>187</v>
      </c>
      <c r="D72" s="18" t="s">
        <v>72</v>
      </c>
      <c r="E72" s="17" t="n">
        <v>2</v>
      </c>
      <c r="F72" s="15" t="s">
        <v>188</v>
      </c>
      <c r="G72" s="13" t="s">
        <v>43</v>
      </c>
      <c r="H72" s="14" t="s">
        <v>44</v>
      </c>
      <c r="I72" s="14"/>
      <c r="J72" s="14"/>
      <c r="K72" s="14"/>
      <c r="L72" s="15"/>
    </row>
    <row r="73" customFormat="false" ht="15" hidden="false" customHeight="false" outlineLevel="0" collapsed="false">
      <c r="A73" s="10" t="n">
        <v>71</v>
      </c>
      <c r="B73" s="3" t="s">
        <v>189</v>
      </c>
      <c r="C73" s="3" t="s">
        <v>190</v>
      </c>
      <c r="D73" s="16" t="s">
        <v>50</v>
      </c>
      <c r="E73" s="12" t="n">
        <v>1</v>
      </c>
      <c r="F73" s="3" t="s">
        <v>191</v>
      </c>
      <c r="G73" s="13" t="s">
        <v>43</v>
      </c>
      <c r="H73" s="10" t="s">
        <v>44</v>
      </c>
      <c r="I73" s="10"/>
      <c r="J73" s="10"/>
      <c r="K73" s="10"/>
      <c r="L73" s="3"/>
    </row>
    <row r="74" customFormat="false" ht="15" hidden="false" customHeight="false" outlineLevel="0" collapsed="false">
      <c r="A74" s="14" t="n">
        <v>72</v>
      </c>
      <c r="B74" s="15" t="s">
        <v>189</v>
      </c>
      <c r="C74" s="15" t="s">
        <v>192</v>
      </c>
      <c r="D74" s="16" t="s">
        <v>50</v>
      </c>
      <c r="E74" s="12" t="n">
        <v>1</v>
      </c>
      <c r="F74" s="15" t="s">
        <v>193</v>
      </c>
      <c r="G74" s="13" t="s">
        <v>43</v>
      </c>
      <c r="H74" s="14" t="s">
        <v>44</v>
      </c>
      <c r="I74" s="14"/>
      <c r="J74" s="14"/>
      <c r="K74" s="14"/>
      <c r="L74" s="15"/>
    </row>
    <row r="75" customFormat="false" ht="15" hidden="false" customHeight="false" outlineLevel="0" collapsed="false">
      <c r="A75" s="10" t="n">
        <v>73</v>
      </c>
      <c r="B75" s="3" t="s">
        <v>189</v>
      </c>
      <c r="C75" s="3" t="s">
        <v>194</v>
      </c>
      <c r="D75" s="16" t="s">
        <v>50</v>
      </c>
      <c r="E75" s="12" t="n">
        <v>1</v>
      </c>
      <c r="F75" s="3" t="s">
        <v>195</v>
      </c>
      <c r="G75" s="13" t="s">
        <v>43</v>
      </c>
      <c r="H75" s="10" t="s">
        <v>44</v>
      </c>
      <c r="I75" s="10"/>
      <c r="J75" s="10"/>
      <c r="K75" s="10"/>
      <c r="L75" s="3"/>
    </row>
    <row r="76" customFormat="false" ht="15" hidden="false" customHeight="false" outlineLevel="0" collapsed="false">
      <c r="A76" s="14" t="n">
        <v>74</v>
      </c>
      <c r="B76" s="15" t="s">
        <v>189</v>
      </c>
      <c r="C76" s="15" t="s">
        <v>196</v>
      </c>
      <c r="D76" s="16" t="s">
        <v>50</v>
      </c>
      <c r="E76" s="17" t="n">
        <v>2</v>
      </c>
      <c r="F76" s="15" t="s">
        <v>197</v>
      </c>
      <c r="G76" s="13" t="s">
        <v>43</v>
      </c>
      <c r="H76" s="14" t="s">
        <v>44</v>
      </c>
      <c r="I76" s="14"/>
      <c r="J76" s="14"/>
      <c r="K76" s="14"/>
      <c r="L76" s="15"/>
    </row>
    <row r="77" customFormat="false" ht="15" hidden="false" customHeight="false" outlineLevel="0" collapsed="false">
      <c r="A77" s="10" t="n">
        <v>75</v>
      </c>
      <c r="B77" s="3" t="s">
        <v>189</v>
      </c>
      <c r="C77" s="3" t="s">
        <v>198</v>
      </c>
      <c r="D77" s="16" t="s">
        <v>50</v>
      </c>
      <c r="E77" s="17" t="n">
        <v>2</v>
      </c>
      <c r="F77" s="3" t="s">
        <v>197</v>
      </c>
      <c r="G77" s="13" t="s">
        <v>43</v>
      </c>
      <c r="H77" s="10" t="s">
        <v>44</v>
      </c>
      <c r="I77" s="10"/>
      <c r="J77" s="10"/>
      <c r="K77" s="10"/>
      <c r="L77" s="3"/>
    </row>
    <row r="78" customFormat="false" ht="15" hidden="false" customHeight="false" outlineLevel="0" collapsed="false">
      <c r="A78" s="14" t="n">
        <v>76</v>
      </c>
      <c r="B78" s="15" t="s">
        <v>189</v>
      </c>
      <c r="C78" s="15" t="s">
        <v>199</v>
      </c>
      <c r="D78" s="16" t="s">
        <v>50</v>
      </c>
      <c r="E78" s="12" t="n">
        <v>1</v>
      </c>
      <c r="F78" s="15" t="s">
        <v>200</v>
      </c>
      <c r="G78" s="13" t="s">
        <v>43</v>
      </c>
      <c r="H78" s="14" t="s">
        <v>44</v>
      </c>
      <c r="I78" s="14"/>
      <c r="J78" s="14"/>
      <c r="K78" s="14"/>
      <c r="L78" s="15"/>
    </row>
    <row r="79" customFormat="false" ht="15" hidden="false" customHeight="false" outlineLevel="0" collapsed="false">
      <c r="A79" s="10" t="n">
        <v>77</v>
      </c>
      <c r="B79" s="3" t="s">
        <v>189</v>
      </c>
      <c r="C79" s="3" t="s">
        <v>201</v>
      </c>
      <c r="D79" s="16" t="s">
        <v>50</v>
      </c>
      <c r="E79" s="17" t="n">
        <v>2</v>
      </c>
      <c r="F79" s="3" t="s">
        <v>202</v>
      </c>
      <c r="G79" s="13" t="s">
        <v>43</v>
      </c>
      <c r="H79" s="10" t="s">
        <v>44</v>
      </c>
      <c r="I79" s="10"/>
      <c r="J79" s="10"/>
      <c r="K79" s="10"/>
      <c r="L79" s="3"/>
    </row>
    <row r="80" customFormat="false" ht="15" hidden="false" customHeight="false" outlineLevel="0" collapsed="false">
      <c r="A80" s="14" t="n">
        <v>78</v>
      </c>
      <c r="B80" s="15" t="s">
        <v>189</v>
      </c>
      <c r="C80" s="15" t="s">
        <v>203</v>
      </c>
      <c r="D80" s="16" t="s">
        <v>50</v>
      </c>
      <c r="E80" s="12" t="n">
        <v>1</v>
      </c>
      <c r="F80" s="15" t="s">
        <v>204</v>
      </c>
      <c r="G80" s="13" t="s">
        <v>43</v>
      </c>
      <c r="H80" s="14" t="s">
        <v>44</v>
      </c>
      <c r="I80" s="14"/>
      <c r="J80" s="14"/>
      <c r="K80" s="14"/>
      <c r="L80" s="15"/>
    </row>
    <row r="81" customFormat="false" ht="15" hidden="false" customHeight="false" outlineLevel="0" collapsed="false">
      <c r="A81" s="10" t="n">
        <v>79</v>
      </c>
      <c r="B81" s="3" t="s">
        <v>189</v>
      </c>
      <c r="C81" s="3" t="s">
        <v>205</v>
      </c>
      <c r="D81" s="18" t="s">
        <v>72</v>
      </c>
      <c r="E81" s="19" t="n">
        <v>3</v>
      </c>
      <c r="F81" s="3" t="s">
        <v>206</v>
      </c>
      <c r="G81" s="13" t="s">
        <v>43</v>
      </c>
      <c r="H81" s="10" t="s">
        <v>44</v>
      </c>
      <c r="I81" s="10"/>
      <c r="J81" s="10"/>
      <c r="K81" s="10"/>
      <c r="L81" s="3"/>
    </row>
    <row r="82" customFormat="false" ht="15" hidden="false" customHeight="false" outlineLevel="0" collapsed="false">
      <c r="A82" s="14" t="n">
        <v>80</v>
      </c>
      <c r="B82" s="15" t="s">
        <v>207</v>
      </c>
      <c r="C82" s="15" t="s">
        <v>208</v>
      </c>
      <c r="D82" s="16" t="s">
        <v>50</v>
      </c>
      <c r="E82" s="12" t="n">
        <v>1</v>
      </c>
      <c r="F82" s="15" t="s">
        <v>209</v>
      </c>
      <c r="G82" s="13" t="s">
        <v>43</v>
      </c>
      <c r="H82" s="14" t="s">
        <v>44</v>
      </c>
      <c r="I82" s="14"/>
      <c r="J82" s="14"/>
      <c r="K82" s="14"/>
      <c r="L82" s="15"/>
    </row>
    <row r="83" customFormat="false" ht="15" hidden="false" customHeight="false" outlineLevel="0" collapsed="false">
      <c r="A83" s="10" t="n">
        <v>81</v>
      </c>
      <c r="B83" s="3" t="s">
        <v>207</v>
      </c>
      <c r="C83" s="3" t="s">
        <v>210</v>
      </c>
      <c r="D83" s="16" t="s">
        <v>50</v>
      </c>
      <c r="E83" s="12" t="n">
        <v>1</v>
      </c>
      <c r="F83" s="3" t="s">
        <v>211</v>
      </c>
      <c r="G83" s="13" t="s">
        <v>43</v>
      </c>
      <c r="H83" s="10" t="s">
        <v>44</v>
      </c>
      <c r="I83" s="10"/>
      <c r="J83" s="10"/>
      <c r="K83" s="10"/>
      <c r="L83" s="3"/>
    </row>
    <row r="84" customFormat="false" ht="15" hidden="false" customHeight="false" outlineLevel="0" collapsed="false">
      <c r="A84" s="14" t="n">
        <v>82</v>
      </c>
      <c r="B84" s="15" t="s">
        <v>207</v>
      </c>
      <c r="C84" s="15" t="s">
        <v>212</v>
      </c>
      <c r="D84" s="16" t="s">
        <v>50</v>
      </c>
      <c r="E84" s="12" t="n">
        <v>1</v>
      </c>
      <c r="F84" s="15" t="s">
        <v>213</v>
      </c>
      <c r="G84" s="13" t="s">
        <v>43</v>
      </c>
      <c r="H84" s="14" t="s">
        <v>44</v>
      </c>
      <c r="I84" s="14"/>
      <c r="J84" s="14"/>
      <c r="K84" s="14"/>
      <c r="L84" s="15"/>
    </row>
    <row r="85" customFormat="false" ht="15" hidden="false" customHeight="false" outlineLevel="0" collapsed="false">
      <c r="A85" s="10" t="n">
        <v>83</v>
      </c>
      <c r="B85" s="3" t="s">
        <v>207</v>
      </c>
      <c r="C85" s="3" t="s">
        <v>214</v>
      </c>
      <c r="D85" s="16" t="s">
        <v>50</v>
      </c>
      <c r="E85" s="17" t="n">
        <v>2</v>
      </c>
      <c r="F85" s="3" t="s">
        <v>215</v>
      </c>
      <c r="G85" s="13" t="s">
        <v>43</v>
      </c>
      <c r="H85" s="10" t="s">
        <v>44</v>
      </c>
      <c r="I85" s="10"/>
      <c r="J85" s="10"/>
      <c r="K85" s="10"/>
      <c r="L85" s="3"/>
    </row>
    <row r="86" customFormat="false" ht="15" hidden="false" customHeight="false" outlineLevel="0" collapsed="false">
      <c r="A86" s="14" t="n">
        <v>84</v>
      </c>
      <c r="B86" s="15" t="s">
        <v>207</v>
      </c>
      <c r="C86" s="15" t="s">
        <v>216</v>
      </c>
      <c r="D86" s="16" t="s">
        <v>50</v>
      </c>
      <c r="E86" s="12" t="n">
        <v>1</v>
      </c>
      <c r="F86" s="15" t="s">
        <v>215</v>
      </c>
      <c r="G86" s="13" t="s">
        <v>43</v>
      </c>
      <c r="H86" s="14" t="s">
        <v>44</v>
      </c>
      <c r="I86" s="14"/>
      <c r="J86" s="14"/>
      <c r="K86" s="14"/>
      <c r="L86" s="15"/>
    </row>
    <row r="87" customFormat="false" ht="15" hidden="false" customHeight="false" outlineLevel="0" collapsed="false">
      <c r="A87" s="10" t="n">
        <v>85</v>
      </c>
      <c r="B87" s="3" t="s">
        <v>207</v>
      </c>
      <c r="C87" s="3" t="s">
        <v>217</v>
      </c>
      <c r="D87" s="16" t="s">
        <v>50</v>
      </c>
      <c r="E87" s="17" t="n">
        <v>2</v>
      </c>
      <c r="F87" s="3" t="s">
        <v>218</v>
      </c>
      <c r="G87" s="13" t="s">
        <v>43</v>
      </c>
      <c r="H87" s="10" t="s">
        <v>44</v>
      </c>
      <c r="I87" s="10"/>
      <c r="J87" s="10"/>
      <c r="K87" s="10"/>
      <c r="L87" s="3"/>
    </row>
    <row r="88" customFormat="false" ht="15" hidden="false" customHeight="false" outlineLevel="0" collapsed="false">
      <c r="A88" s="14" t="n">
        <v>86</v>
      </c>
      <c r="B88" s="15" t="s">
        <v>207</v>
      </c>
      <c r="C88" s="15" t="s">
        <v>219</v>
      </c>
      <c r="D88" s="16" t="s">
        <v>50</v>
      </c>
      <c r="E88" s="17" t="n">
        <v>2</v>
      </c>
      <c r="F88" s="15" t="s">
        <v>218</v>
      </c>
      <c r="G88" s="13" t="s">
        <v>43</v>
      </c>
      <c r="H88" s="14" t="s">
        <v>44</v>
      </c>
      <c r="I88" s="14"/>
      <c r="J88" s="14"/>
      <c r="K88" s="14"/>
      <c r="L88" s="15"/>
    </row>
    <row r="89" customFormat="false" ht="15" hidden="false" customHeight="false" outlineLevel="0" collapsed="false">
      <c r="A89" s="10" t="n">
        <v>87</v>
      </c>
      <c r="B89" s="3" t="s">
        <v>207</v>
      </c>
      <c r="C89" s="3" t="s">
        <v>220</v>
      </c>
      <c r="D89" s="16" t="s">
        <v>50</v>
      </c>
      <c r="E89" s="12" t="n">
        <v>1</v>
      </c>
      <c r="F89" s="3" t="s">
        <v>221</v>
      </c>
      <c r="G89" s="13" t="s">
        <v>43</v>
      </c>
      <c r="H89" s="10" t="s">
        <v>44</v>
      </c>
      <c r="I89" s="10"/>
      <c r="J89" s="10"/>
      <c r="K89" s="10"/>
      <c r="L89" s="3"/>
    </row>
    <row r="90" customFormat="false" ht="15" hidden="false" customHeight="false" outlineLevel="0" collapsed="false">
      <c r="A90" s="14" t="n">
        <v>88</v>
      </c>
      <c r="B90" s="15" t="s">
        <v>207</v>
      </c>
      <c r="C90" s="15" t="s">
        <v>222</v>
      </c>
      <c r="D90" s="16" t="s">
        <v>50</v>
      </c>
      <c r="E90" s="12" t="n">
        <v>1</v>
      </c>
      <c r="F90" s="15" t="s">
        <v>223</v>
      </c>
      <c r="G90" s="13" t="s">
        <v>43</v>
      </c>
      <c r="H90" s="14" t="s">
        <v>44</v>
      </c>
      <c r="I90" s="14"/>
      <c r="J90" s="14"/>
      <c r="K90" s="14"/>
      <c r="L90" s="15"/>
    </row>
    <row r="91" customFormat="false" ht="15" hidden="false" customHeight="false" outlineLevel="0" collapsed="false">
      <c r="A91" s="10" t="n">
        <v>89</v>
      </c>
      <c r="B91" s="3" t="s">
        <v>207</v>
      </c>
      <c r="C91" s="3" t="s">
        <v>224</v>
      </c>
      <c r="D91" s="16" t="s">
        <v>50</v>
      </c>
      <c r="E91" s="17" t="n">
        <v>2</v>
      </c>
      <c r="F91" s="3" t="s">
        <v>225</v>
      </c>
      <c r="G91" s="13" t="s">
        <v>43</v>
      </c>
      <c r="H91" s="10" t="s">
        <v>44</v>
      </c>
      <c r="I91" s="10"/>
      <c r="J91" s="10"/>
      <c r="K91" s="10"/>
      <c r="L91" s="3"/>
    </row>
    <row r="92" customFormat="false" ht="15" hidden="false" customHeight="false" outlineLevel="0" collapsed="false">
      <c r="A92" s="14" t="n">
        <v>90</v>
      </c>
      <c r="B92" s="15" t="s">
        <v>207</v>
      </c>
      <c r="C92" s="15" t="s">
        <v>226</v>
      </c>
      <c r="D92" s="16" t="s">
        <v>50</v>
      </c>
      <c r="E92" s="12" t="n">
        <v>1</v>
      </c>
      <c r="F92" s="15" t="s">
        <v>225</v>
      </c>
      <c r="G92" s="13" t="s">
        <v>43</v>
      </c>
      <c r="H92" s="14" t="s">
        <v>44</v>
      </c>
      <c r="I92" s="14"/>
      <c r="J92" s="14"/>
      <c r="K92" s="14"/>
      <c r="L92" s="15"/>
    </row>
    <row r="93" customFormat="false" ht="15" hidden="false" customHeight="false" outlineLevel="0" collapsed="false">
      <c r="A93" s="10" t="n">
        <v>91</v>
      </c>
      <c r="B93" s="3" t="s">
        <v>207</v>
      </c>
      <c r="C93" s="3" t="s">
        <v>227</v>
      </c>
      <c r="D93" s="16" t="s">
        <v>50</v>
      </c>
      <c r="E93" s="17" t="n">
        <v>2</v>
      </c>
      <c r="F93" s="3" t="s">
        <v>228</v>
      </c>
      <c r="G93" s="13" t="s">
        <v>43</v>
      </c>
      <c r="H93" s="10" t="s">
        <v>44</v>
      </c>
      <c r="I93" s="10"/>
      <c r="J93" s="10"/>
      <c r="K93" s="10"/>
      <c r="L93" s="3"/>
    </row>
    <row r="94" customFormat="false" ht="15" hidden="false" customHeight="false" outlineLevel="0" collapsed="false">
      <c r="A94" s="14" t="n">
        <v>92</v>
      </c>
      <c r="B94" s="15" t="s">
        <v>207</v>
      </c>
      <c r="C94" s="15" t="s">
        <v>229</v>
      </c>
      <c r="D94" s="18" t="s">
        <v>72</v>
      </c>
      <c r="E94" s="19" t="n">
        <v>3</v>
      </c>
      <c r="F94" s="15" t="s">
        <v>230</v>
      </c>
      <c r="G94" s="13" t="s">
        <v>43</v>
      </c>
      <c r="H94" s="14" t="s">
        <v>44</v>
      </c>
      <c r="I94" s="14"/>
      <c r="J94" s="14"/>
      <c r="K94" s="14"/>
      <c r="L94" s="15"/>
    </row>
    <row r="95" customFormat="false" ht="15" hidden="false" customHeight="false" outlineLevel="0" collapsed="false">
      <c r="A95" s="10" t="n">
        <v>93</v>
      </c>
      <c r="B95" s="3" t="s">
        <v>231</v>
      </c>
      <c r="C95" s="3" t="s">
        <v>232</v>
      </c>
      <c r="D95" s="18" t="s">
        <v>72</v>
      </c>
      <c r="E95" s="19" t="n">
        <v>3</v>
      </c>
      <c r="F95" s="3" t="s">
        <v>233</v>
      </c>
      <c r="G95" s="13" t="s">
        <v>43</v>
      </c>
      <c r="H95" s="10" t="s">
        <v>44</v>
      </c>
      <c r="I95" s="10"/>
      <c r="J95" s="10"/>
      <c r="K95" s="10"/>
      <c r="L95" s="3"/>
    </row>
    <row r="96" customFormat="false" ht="15" hidden="false" customHeight="false" outlineLevel="0" collapsed="false">
      <c r="A96" s="14" t="n">
        <v>94</v>
      </c>
      <c r="B96" s="15" t="s">
        <v>231</v>
      </c>
      <c r="C96" s="15" t="s">
        <v>234</v>
      </c>
      <c r="D96" s="16" t="s">
        <v>50</v>
      </c>
      <c r="E96" s="17" t="n">
        <v>2</v>
      </c>
      <c r="F96" s="15" t="s">
        <v>235</v>
      </c>
      <c r="G96" s="13" t="s">
        <v>43</v>
      </c>
      <c r="H96" s="14" t="s">
        <v>44</v>
      </c>
      <c r="I96" s="14"/>
      <c r="J96" s="14"/>
      <c r="K96" s="14"/>
      <c r="L96" s="15"/>
    </row>
    <row r="97" customFormat="false" ht="15" hidden="false" customHeight="false" outlineLevel="0" collapsed="false">
      <c r="A97" s="10" t="n">
        <v>95</v>
      </c>
      <c r="B97" s="3" t="s">
        <v>231</v>
      </c>
      <c r="C97" s="3" t="s">
        <v>236</v>
      </c>
      <c r="D97" s="16" t="s">
        <v>50</v>
      </c>
      <c r="E97" s="17" t="n">
        <v>2</v>
      </c>
      <c r="F97" s="3" t="s">
        <v>237</v>
      </c>
      <c r="G97" s="13" t="s">
        <v>43</v>
      </c>
      <c r="H97" s="10" t="s">
        <v>44</v>
      </c>
      <c r="I97" s="10"/>
      <c r="J97" s="10"/>
      <c r="K97" s="10"/>
      <c r="L97" s="3"/>
    </row>
    <row r="98" customFormat="false" ht="15" hidden="false" customHeight="false" outlineLevel="0" collapsed="false">
      <c r="A98" s="14" t="n">
        <v>96</v>
      </c>
      <c r="B98" s="15" t="s">
        <v>231</v>
      </c>
      <c r="C98" s="15" t="s">
        <v>238</v>
      </c>
      <c r="D98" s="18" t="s">
        <v>72</v>
      </c>
      <c r="E98" s="19" t="n">
        <v>3</v>
      </c>
      <c r="F98" s="15" t="s">
        <v>239</v>
      </c>
      <c r="G98" s="13" t="s">
        <v>43</v>
      </c>
      <c r="H98" s="14" t="s">
        <v>44</v>
      </c>
      <c r="I98" s="14"/>
      <c r="J98" s="14"/>
      <c r="K98" s="14"/>
      <c r="L98" s="15"/>
    </row>
    <row r="99" customFormat="false" ht="15" hidden="false" customHeight="false" outlineLevel="0" collapsed="false">
      <c r="A99" s="10" t="n">
        <v>97</v>
      </c>
      <c r="B99" s="3" t="s">
        <v>231</v>
      </c>
      <c r="C99" s="3" t="s">
        <v>240</v>
      </c>
      <c r="D99" s="18" t="s">
        <v>72</v>
      </c>
      <c r="E99" s="19" t="n">
        <v>3</v>
      </c>
      <c r="F99" s="3" t="s">
        <v>241</v>
      </c>
      <c r="G99" s="13" t="s">
        <v>43</v>
      </c>
      <c r="H99" s="10" t="s">
        <v>44</v>
      </c>
      <c r="I99" s="10"/>
      <c r="J99" s="10"/>
      <c r="K99" s="10"/>
      <c r="L99" s="3"/>
    </row>
    <row r="100" customFormat="false" ht="15" hidden="false" customHeight="false" outlineLevel="0" collapsed="false">
      <c r="A100" s="14" t="n">
        <v>98</v>
      </c>
      <c r="B100" s="15" t="s">
        <v>231</v>
      </c>
      <c r="C100" s="15" t="s">
        <v>242</v>
      </c>
      <c r="D100" s="16" t="s">
        <v>50</v>
      </c>
      <c r="E100" s="17" t="n">
        <v>2</v>
      </c>
      <c r="F100" s="15" t="s">
        <v>243</v>
      </c>
      <c r="G100" s="13" t="s">
        <v>43</v>
      </c>
      <c r="H100" s="14" t="s">
        <v>44</v>
      </c>
      <c r="I100" s="14"/>
      <c r="J100" s="14"/>
      <c r="K100" s="14"/>
      <c r="L100" s="15"/>
    </row>
    <row r="101" customFormat="false" ht="23.85" hidden="false" customHeight="false" outlineLevel="0" collapsed="false">
      <c r="A101" s="10" t="n">
        <v>99</v>
      </c>
      <c r="B101" s="3" t="s">
        <v>244</v>
      </c>
      <c r="C101" s="3" t="s">
        <v>245</v>
      </c>
      <c r="D101" s="11" t="s">
        <v>41</v>
      </c>
      <c r="E101" s="12" t="n">
        <v>1</v>
      </c>
      <c r="F101" s="3" t="s">
        <v>246</v>
      </c>
      <c r="G101" s="13" t="s">
        <v>43</v>
      </c>
      <c r="H101" s="10" t="s">
        <v>44</v>
      </c>
      <c r="I101" s="10"/>
      <c r="J101" s="10"/>
      <c r="K101" s="10"/>
      <c r="L101" s="3"/>
    </row>
    <row r="102" customFormat="false" ht="23.85" hidden="false" customHeight="false" outlineLevel="0" collapsed="false">
      <c r="A102" s="14" t="n">
        <v>100</v>
      </c>
      <c r="B102" s="15" t="s">
        <v>244</v>
      </c>
      <c r="C102" s="15" t="s">
        <v>247</v>
      </c>
      <c r="D102" s="11" t="s">
        <v>41</v>
      </c>
      <c r="E102" s="12" t="n">
        <v>1</v>
      </c>
      <c r="F102" s="15" t="s">
        <v>248</v>
      </c>
      <c r="G102" s="13" t="s">
        <v>43</v>
      </c>
      <c r="H102" s="14" t="s">
        <v>44</v>
      </c>
      <c r="I102" s="14"/>
      <c r="J102" s="14"/>
      <c r="K102" s="14"/>
      <c r="L102" s="15"/>
    </row>
    <row r="103" customFormat="false" ht="23.85" hidden="false" customHeight="false" outlineLevel="0" collapsed="false">
      <c r="A103" s="10" t="n">
        <v>101</v>
      </c>
      <c r="B103" s="3" t="s">
        <v>244</v>
      </c>
      <c r="C103" s="3" t="s">
        <v>249</v>
      </c>
      <c r="D103" s="16" t="s">
        <v>50</v>
      </c>
      <c r="E103" s="12" t="n">
        <v>1</v>
      </c>
      <c r="F103" s="3" t="s">
        <v>250</v>
      </c>
      <c r="G103" s="13" t="s">
        <v>43</v>
      </c>
      <c r="H103" s="10" t="s">
        <v>44</v>
      </c>
      <c r="I103" s="10"/>
      <c r="J103" s="10"/>
      <c r="K103" s="10"/>
      <c r="L103" s="3"/>
    </row>
    <row r="104" customFormat="false" ht="23.85" hidden="false" customHeight="false" outlineLevel="0" collapsed="false">
      <c r="A104" s="14" t="n">
        <v>102</v>
      </c>
      <c r="B104" s="15" t="s">
        <v>244</v>
      </c>
      <c r="C104" s="15" t="s">
        <v>251</v>
      </c>
      <c r="D104" s="16" t="s">
        <v>50</v>
      </c>
      <c r="E104" s="12" t="n">
        <v>1</v>
      </c>
      <c r="F104" s="15" t="s">
        <v>252</v>
      </c>
      <c r="G104" s="13" t="s">
        <v>43</v>
      </c>
      <c r="H104" s="14" t="s">
        <v>44</v>
      </c>
      <c r="I104" s="14"/>
      <c r="J104" s="14"/>
      <c r="K104" s="14"/>
      <c r="L104" s="15"/>
    </row>
    <row r="105" customFormat="false" ht="23.85" hidden="false" customHeight="false" outlineLevel="0" collapsed="false">
      <c r="A105" s="10" t="n">
        <v>103</v>
      </c>
      <c r="B105" s="3" t="s">
        <v>244</v>
      </c>
      <c r="C105" s="3" t="s">
        <v>253</v>
      </c>
      <c r="D105" s="16" t="s">
        <v>50</v>
      </c>
      <c r="E105" s="12" t="n">
        <v>1</v>
      </c>
      <c r="F105" s="3" t="s">
        <v>254</v>
      </c>
      <c r="G105" s="13" t="s">
        <v>43</v>
      </c>
      <c r="H105" s="10" t="s">
        <v>44</v>
      </c>
      <c r="I105" s="10"/>
      <c r="J105" s="10"/>
      <c r="K105" s="10"/>
      <c r="L105" s="3"/>
    </row>
    <row r="106" customFormat="false" ht="23.85" hidden="false" customHeight="false" outlineLevel="0" collapsed="false">
      <c r="A106" s="14" t="n">
        <v>104</v>
      </c>
      <c r="B106" s="15" t="s">
        <v>244</v>
      </c>
      <c r="C106" s="15" t="s">
        <v>255</v>
      </c>
      <c r="D106" s="16" t="s">
        <v>50</v>
      </c>
      <c r="E106" s="17" t="n">
        <v>2</v>
      </c>
      <c r="F106" s="15" t="s">
        <v>254</v>
      </c>
      <c r="G106" s="13" t="s">
        <v>43</v>
      </c>
      <c r="H106" s="14" t="s">
        <v>44</v>
      </c>
      <c r="I106" s="14"/>
      <c r="J106" s="14"/>
      <c r="K106" s="14"/>
      <c r="L106" s="15"/>
    </row>
    <row r="107" customFormat="false" ht="23.85" hidden="false" customHeight="false" outlineLevel="0" collapsed="false">
      <c r="A107" s="10" t="n">
        <v>105</v>
      </c>
      <c r="B107" s="3" t="s">
        <v>244</v>
      </c>
      <c r="C107" s="3" t="s">
        <v>256</v>
      </c>
      <c r="D107" s="16" t="s">
        <v>50</v>
      </c>
      <c r="E107" s="17" t="n">
        <v>2</v>
      </c>
      <c r="F107" s="3" t="s">
        <v>248</v>
      </c>
      <c r="G107" s="13" t="s">
        <v>43</v>
      </c>
      <c r="H107" s="10" t="s">
        <v>44</v>
      </c>
      <c r="I107" s="10"/>
      <c r="J107" s="10"/>
      <c r="K107" s="10"/>
      <c r="L107" s="3"/>
    </row>
    <row r="108" customFormat="false" ht="23.85" hidden="false" customHeight="false" outlineLevel="0" collapsed="false">
      <c r="A108" s="14" t="n">
        <v>106</v>
      </c>
      <c r="B108" s="15" t="s">
        <v>244</v>
      </c>
      <c r="C108" s="15" t="s">
        <v>257</v>
      </c>
      <c r="D108" s="16" t="s">
        <v>50</v>
      </c>
      <c r="E108" s="12" t="n">
        <v>1</v>
      </c>
      <c r="F108" s="15" t="s">
        <v>258</v>
      </c>
      <c r="G108" s="13" t="s">
        <v>43</v>
      </c>
      <c r="H108" s="14" t="s">
        <v>44</v>
      </c>
      <c r="I108" s="14"/>
      <c r="J108" s="14"/>
      <c r="K108" s="14"/>
      <c r="L108" s="15"/>
    </row>
    <row r="109" customFormat="false" ht="23.85" hidden="false" customHeight="false" outlineLevel="0" collapsed="false">
      <c r="A109" s="10" t="n">
        <v>107</v>
      </c>
      <c r="B109" s="3" t="s">
        <v>244</v>
      </c>
      <c r="C109" s="3" t="s">
        <v>259</v>
      </c>
      <c r="D109" s="16" t="s">
        <v>50</v>
      </c>
      <c r="E109" s="17" t="n">
        <v>2</v>
      </c>
      <c r="F109" s="3" t="s">
        <v>260</v>
      </c>
      <c r="G109" s="13" t="s">
        <v>43</v>
      </c>
      <c r="H109" s="10" t="s">
        <v>44</v>
      </c>
      <c r="I109" s="10"/>
      <c r="J109" s="10"/>
      <c r="K109" s="10"/>
      <c r="L109" s="3"/>
    </row>
    <row r="110" customFormat="false" ht="23.85" hidden="false" customHeight="false" outlineLevel="0" collapsed="false">
      <c r="A110" s="14" t="n">
        <v>108</v>
      </c>
      <c r="B110" s="15" t="s">
        <v>244</v>
      </c>
      <c r="C110" s="15" t="s">
        <v>261</v>
      </c>
      <c r="D110" s="16" t="s">
        <v>50</v>
      </c>
      <c r="E110" s="12" t="n">
        <v>1</v>
      </c>
      <c r="F110" s="15" t="s">
        <v>248</v>
      </c>
      <c r="G110" s="13" t="s">
        <v>43</v>
      </c>
      <c r="H110" s="14" t="s">
        <v>44</v>
      </c>
      <c r="I110" s="14"/>
      <c r="J110" s="14"/>
      <c r="K110" s="14"/>
      <c r="L110" s="15"/>
    </row>
    <row r="111" customFormat="false" ht="23.85" hidden="false" customHeight="false" outlineLevel="0" collapsed="false">
      <c r="A111" s="10" t="n">
        <v>109</v>
      </c>
      <c r="B111" s="3" t="s">
        <v>244</v>
      </c>
      <c r="C111" s="3" t="s">
        <v>262</v>
      </c>
      <c r="D111" s="16" t="s">
        <v>50</v>
      </c>
      <c r="E111" s="12" t="n">
        <v>1</v>
      </c>
      <c r="F111" s="3" t="s">
        <v>263</v>
      </c>
      <c r="G111" s="13" t="s">
        <v>43</v>
      </c>
      <c r="H111" s="10" t="s">
        <v>44</v>
      </c>
      <c r="I111" s="10"/>
      <c r="J111" s="10"/>
      <c r="K111" s="10"/>
      <c r="L111" s="3"/>
    </row>
    <row r="112" customFormat="false" ht="23.85" hidden="false" customHeight="false" outlineLevel="0" collapsed="false">
      <c r="A112" s="14" t="n">
        <v>110</v>
      </c>
      <c r="B112" s="15" t="s">
        <v>244</v>
      </c>
      <c r="C112" s="15" t="s">
        <v>264</v>
      </c>
      <c r="D112" s="16" t="s">
        <v>50</v>
      </c>
      <c r="E112" s="17" t="n">
        <v>2</v>
      </c>
      <c r="F112" s="15" t="s">
        <v>265</v>
      </c>
      <c r="G112" s="13" t="s">
        <v>43</v>
      </c>
      <c r="H112" s="14" t="s">
        <v>44</v>
      </c>
      <c r="I112" s="14"/>
      <c r="J112" s="14"/>
      <c r="K112" s="14"/>
      <c r="L112" s="15"/>
    </row>
    <row r="113" customFormat="false" ht="23.85" hidden="false" customHeight="false" outlineLevel="0" collapsed="false">
      <c r="A113" s="10" t="n">
        <v>111</v>
      </c>
      <c r="B113" s="3" t="s">
        <v>266</v>
      </c>
      <c r="C113" s="3" t="s">
        <v>267</v>
      </c>
      <c r="D113" s="16" t="s">
        <v>50</v>
      </c>
      <c r="E113" s="12" t="n">
        <v>1</v>
      </c>
      <c r="F113" s="3" t="s">
        <v>268</v>
      </c>
      <c r="G113" s="13" t="s">
        <v>43</v>
      </c>
      <c r="H113" s="10" t="s">
        <v>44</v>
      </c>
      <c r="I113" s="10"/>
      <c r="J113" s="10"/>
      <c r="K113" s="10"/>
      <c r="L113" s="3"/>
    </row>
    <row r="114" customFormat="false" ht="23.85" hidden="false" customHeight="false" outlineLevel="0" collapsed="false">
      <c r="A114" s="14" t="n">
        <v>112</v>
      </c>
      <c r="B114" s="15" t="s">
        <v>266</v>
      </c>
      <c r="C114" s="15" t="s">
        <v>269</v>
      </c>
      <c r="D114" s="16" t="s">
        <v>50</v>
      </c>
      <c r="E114" s="12" t="n">
        <v>1</v>
      </c>
      <c r="F114" s="15" t="s">
        <v>270</v>
      </c>
      <c r="G114" s="13" t="s">
        <v>43</v>
      </c>
      <c r="H114" s="14" t="s">
        <v>44</v>
      </c>
      <c r="I114" s="14"/>
      <c r="J114" s="14"/>
      <c r="K114" s="14"/>
      <c r="L114" s="15"/>
    </row>
    <row r="115" customFormat="false" ht="23.85" hidden="false" customHeight="false" outlineLevel="0" collapsed="false">
      <c r="A115" s="10" t="n">
        <v>113</v>
      </c>
      <c r="B115" s="3" t="s">
        <v>266</v>
      </c>
      <c r="C115" s="3" t="s">
        <v>271</v>
      </c>
      <c r="D115" s="16" t="s">
        <v>50</v>
      </c>
      <c r="E115" s="17" t="n">
        <v>2</v>
      </c>
      <c r="F115" s="3" t="s">
        <v>272</v>
      </c>
      <c r="G115" s="13" t="s">
        <v>43</v>
      </c>
      <c r="H115" s="10" t="s">
        <v>44</v>
      </c>
      <c r="I115" s="10"/>
      <c r="J115" s="10"/>
      <c r="K115" s="10"/>
      <c r="L115" s="3"/>
    </row>
    <row r="116" customFormat="false" ht="23.85" hidden="false" customHeight="false" outlineLevel="0" collapsed="false">
      <c r="A116" s="14" t="n">
        <v>114</v>
      </c>
      <c r="B116" s="15" t="s">
        <v>266</v>
      </c>
      <c r="C116" s="15" t="s">
        <v>273</v>
      </c>
      <c r="D116" s="16" t="s">
        <v>50</v>
      </c>
      <c r="E116" s="17" t="n">
        <v>2</v>
      </c>
      <c r="F116" s="15" t="s">
        <v>274</v>
      </c>
      <c r="G116" s="13" t="s">
        <v>43</v>
      </c>
      <c r="H116" s="14" t="s">
        <v>44</v>
      </c>
      <c r="I116" s="14"/>
      <c r="J116" s="14"/>
      <c r="K116" s="14"/>
      <c r="L116" s="15"/>
    </row>
    <row r="117" customFormat="false" ht="23.85" hidden="false" customHeight="false" outlineLevel="0" collapsed="false">
      <c r="A117" s="10" t="n">
        <v>115</v>
      </c>
      <c r="B117" s="3" t="s">
        <v>266</v>
      </c>
      <c r="C117" s="3" t="s">
        <v>275</v>
      </c>
      <c r="D117" s="16" t="s">
        <v>50</v>
      </c>
      <c r="E117" s="17" t="n">
        <v>2</v>
      </c>
      <c r="F117" s="3" t="s">
        <v>276</v>
      </c>
      <c r="G117" s="13" t="s">
        <v>43</v>
      </c>
      <c r="H117" s="10" t="s">
        <v>44</v>
      </c>
      <c r="I117" s="10"/>
      <c r="J117" s="10"/>
      <c r="K117" s="10"/>
      <c r="L117" s="3"/>
    </row>
    <row r="118" customFormat="false" ht="23.85" hidden="false" customHeight="false" outlineLevel="0" collapsed="false">
      <c r="A118" s="14" t="n">
        <v>116</v>
      </c>
      <c r="B118" s="15" t="s">
        <v>266</v>
      </c>
      <c r="C118" s="15" t="s">
        <v>277</v>
      </c>
      <c r="D118" s="16" t="s">
        <v>50</v>
      </c>
      <c r="E118" s="19" t="n">
        <v>3</v>
      </c>
      <c r="F118" s="15" t="s">
        <v>270</v>
      </c>
      <c r="G118" s="13" t="s">
        <v>43</v>
      </c>
      <c r="H118" s="14" t="s">
        <v>44</v>
      </c>
      <c r="I118" s="14"/>
      <c r="J118" s="14"/>
      <c r="K118" s="14"/>
      <c r="L118" s="15"/>
    </row>
    <row r="119" customFormat="false" ht="23.85" hidden="false" customHeight="false" outlineLevel="0" collapsed="false">
      <c r="A119" s="10" t="n">
        <v>117</v>
      </c>
      <c r="B119" s="3" t="s">
        <v>266</v>
      </c>
      <c r="C119" s="3" t="s">
        <v>278</v>
      </c>
      <c r="D119" s="18" t="s">
        <v>72</v>
      </c>
      <c r="E119" s="19" t="n">
        <v>3</v>
      </c>
      <c r="F119" s="3" t="s">
        <v>279</v>
      </c>
      <c r="G119" s="13" t="s">
        <v>43</v>
      </c>
      <c r="H119" s="10" t="s">
        <v>44</v>
      </c>
      <c r="I119" s="10"/>
      <c r="J119" s="10"/>
      <c r="K119" s="10"/>
      <c r="L119" s="3"/>
    </row>
    <row r="120" customFormat="false" ht="23.85" hidden="false" customHeight="false" outlineLevel="0" collapsed="false">
      <c r="A120" s="14" t="n">
        <v>118</v>
      </c>
      <c r="B120" s="15" t="s">
        <v>266</v>
      </c>
      <c r="C120" s="15" t="s">
        <v>280</v>
      </c>
      <c r="D120" s="18" t="s">
        <v>72</v>
      </c>
      <c r="E120" s="19" t="n">
        <v>3</v>
      </c>
      <c r="F120" s="15" t="s">
        <v>270</v>
      </c>
      <c r="G120" s="13" t="s">
        <v>43</v>
      </c>
      <c r="H120" s="14" t="s">
        <v>44</v>
      </c>
      <c r="I120" s="14"/>
      <c r="J120" s="14"/>
      <c r="K120" s="14"/>
      <c r="L120" s="15"/>
    </row>
    <row r="121" customFormat="false" ht="23.85" hidden="false" customHeight="false" outlineLevel="0" collapsed="false">
      <c r="A121" s="10" t="n">
        <v>119</v>
      </c>
      <c r="B121" s="3" t="s">
        <v>266</v>
      </c>
      <c r="C121" s="3" t="s">
        <v>281</v>
      </c>
      <c r="D121" s="16" t="s">
        <v>50</v>
      </c>
      <c r="E121" s="17" t="n">
        <v>2</v>
      </c>
      <c r="F121" s="3" t="s">
        <v>270</v>
      </c>
      <c r="G121" s="13" t="s">
        <v>43</v>
      </c>
      <c r="H121" s="10" t="s">
        <v>44</v>
      </c>
      <c r="I121" s="10"/>
      <c r="J121" s="10"/>
      <c r="K121" s="10"/>
      <c r="L121" s="3"/>
    </row>
    <row r="122" customFormat="false" ht="23.85" hidden="false" customHeight="false" outlineLevel="0" collapsed="false">
      <c r="A122" s="14" t="n">
        <v>120</v>
      </c>
      <c r="B122" s="15" t="s">
        <v>266</v>
      </c>
      <c r="C122" s="15" t="s">
        <v>282</v>
      </c>
      <c r="D122" s="18" t="s">
        <v>72</v>
      </c>
      <c r="E122" s="19" t="n">
        <v>3</v>
      </c>
      <c r="F122" s="15" t="s">
        <v>283</v>
      </c>
      <c r="G122" s="13" t="s">
        <v>43</v>
      </c>
      <c r="H122" s="14" t="s">
        <v>44</v>
      </c>
      <c r="I122" s="14"/>
      <c r="J122" s="14"/>
      <c r="K122" s="14"/>
      <c r="L122" s="15"/>
    </row>
    <row r="123" customFormat="false" ht="23.85" hidden="false" customHeight="false" outlineLevel="0" collapsed="false">
      <c r="A123" s="10" t="n">
        <v>121</v>
      </c>
      <c r="B123" s="3" t="s">
        <v>266</v>
      </c>
      <c r="C123" s="3" t="s">
        <v>284</v>
      </c>
      <c r="D123" s="18" t="s">
        <v>72</v>
      </c>
      <c r="E123" s="19" t="n">
        <v>3</v>
      </c>
      <c r="F123" s="3" t="s">
        <v>270</v>
      </c>
      <c r="G123" s="13" t="s">
        <v>43</v>
      </c>
      <c r="H123" s="10" t="s">
        <v>44</v>
      </c>
      <c r="I123" s="10"/>
      <c r="J123" s="10"/>
      <c r="K123" s="10"/>
      <c r="L123" s="3"/>
    </row>
    <row r="124" customFormat="false" ht="15" hidden="false" customHeight="false" outlineLevel="0" collapsed="false">
      <c r="A124" s="14" t="n">
        <v>122</v>
      </c>
      <c r="B124" s="15" t="s">
        <v>285</v>
      </c>
      <c r="C124" s="15" t="s">
        <v>286</v>
      </c>
      <c r="D124" s="16" t="s">
        <v>50</v>
      </c>
      <c r="E124" s="12" t="n">
        <v>1</v>
      </c>
      <c r="F124" s="15" t="s">
        <v>287</v>
      </c>
      <c r="G124" s="13" t="s">
        <v>43</v>
      </c>
      <c r="H124" s="14" t="s">
        <v>44</v>
      </c>
      <c r="I124" s="14"/>
      <c r="J124" s="14"/>
      <c r="K124" s="14"/>
      <c r="L124" s="15"/>
    </row>
    <row r="125" customFormat="false" ht="15" hidden="false" customHeight="false" outlineLevel="0" collapsed="false">
      <c r="A125" s="10" t="n">
        <v>123</v>
      </c>
      <c r="B125" s="3" t="s">
        <v>285</v>
      </c>
      <c r="C125" s="3" t="s">
        <v>288</v>
      </c>
      <c r="D125" s="16" t="s">
        <v>50</v>
      </c>
      <c r="E125" s="12" t="n">
        <v>1</v>
      </c>
      <c r="F125" s="3" t="s">
        <v>289</v>
      </c>
      <c r="G125" s="13" t="s">
        <v>43</v>
      </c>
      <c r="H125" s="10" t="s">
        <v>44</v>
      </c>
      <c r="I125" s="10"/>
      <c r="J125" s="10"/>
      <c r="K125" s="10"/>
      <c r="L125" s="3"/>
    </row>
    <row r="126" customFormat="false" ht="15" hidden="false" customHeight="false" outlineLevel="0" collapsed="false">
      <c r="A126" s="14" t="n">
        <v>124</v>
      </c>
      <c r="B126" s="15" t="s">
        <v>285</v>
      </c>
      <c r="C126" s="15" t="s">
        <v>290</v>
      </c>
      <c r="D126" s="16" t="s">
        <v>50</v>
      </c>
      <c r="E126" s="17" t="n">
        <v>2</v>
      </c>
      <c r="F126" s="15" t="s">
        <v>291</v>
      </c>
      <c r="G126" s="13" t="s">
        <v>43</v>
      </c>
      <c r="H126" s="14" t="s">
        <v>44</v>
      </c>
      <c r="I126" s="14"/>
      <c r="J126" s="14"/>
      <c r="K126" s="14"/>
      <c r="L126" s="15"/>
    </row>
    <row r="127" customFormat="false" ht="15" hidden="false" customHeight="false" outlineLevel="0" collapsed="false">
      <c r="A127" s="10" t="n">
        <v>125</v>
      </c>
      <c r="B127" s="3" t="s">
        <v>285</v>
      </c>
      <c r="C127" s="3" t="s">
        <v>292</v>
      </c>
      <c r="D127" s="16" t="s">
        <v>50</v>
      </c>
      <c r="E127" s="17" t="n">
        <v>2</v>
      </c>
      <c r="F127" s="3" t="s">
        <v>293</v>
      </c>
      <c r="G127" s="13" t="s">
        <v>43</v>
      </c>
      <c r="H127" s="10" t="s">
        <v>44</v>
      </c>
      <c r="I127" s="10"/>
      <c r="J127" s="10"/>
      <c r="K127" s="10"/>
      <c r="L127" s="3"/>
    </row>
    <row r="128" customFormat="false" ht="15" hidden="false" customHeight="false" outlineLevel="0" collapsed="false">
      <c r="A128" s="14" t="n">
        <v>126</v>
      </c>
      <c r="B128" s="15" t="s">
        <v>285</v>
      </c>
      <c r="C128" s="15" t="s">
        <v>294</v>
      </c>
      <c r="D128" s="16" t="s">
        <v>50</v>
      </c>
      <c r="E128" s="17" t="n">
        <v>2</v>
      </c>
      <c r="F128" s="15" t="s">
        <v>295</v>
      </c>
      <c r="G128" s="13" t="s">
        <v>43</v>
      </c>
      <c r="H128" s="14" t="s">
        <v>44</v>
      </c>
      <c r="I128" s="14"/>
      <c r="J128" s="14"/>
      <c r="K128" s="14"/>
      <c r="L128" s="15"/>
    </row>
    <row r="129" customFormat="false" ht="15" hidden="false" customHeight="false" outlineLevel="0" collapsed="false">
      <c r="A129" s="10" t="n">
        <v>127</v>
      </c>
      <c r="B129" s="3" t="s">
        <v>285</v>
      </c>
      <c r="C129" s="3" t="s">
        <v>296</v>
      </c>
      <c r="D129" s="16" t="s">
        <v>50</v>
      </c>
      <c r="E129" s="17" t="n">
        <v>2</v>
      </c>
      <c r="F129" s="3" t="s">
        <v>297</v>
      </c>
      <c r="G129" s="13" t="s">
        <v>43</v>
      </c>
      <c r="H129" s="10" t="s">
        <v>44</v>
      </c>
      <c r="I129" s="10"/>
      <c r="J129" s="10"/>
      <c r="K129" s="10"/>
      <c r="L129" s="3"/>
    </row>
    <row r="130" customFormat="false" ht="15" hidden="false" customHeight="false" outlineLevel="0" collapsed="false">
      <c r="A130" s="14" t="n">
        <v>128</v>
      </c>
      <c r="B130" s="15" t="s">
        <v>285</v>
      </c>
      <c r="C130" s="15" t="s">
        <v>298</v>
      </c>
      <c r="D130" s="16" t="s">
        <v>50</v>
      </c>
      <c r="E130" s="12" t="n">
        <v>1</v>
      </c>
      <c r="F130" s="15" t="s">
        <v>299</v>
      </c>
      <c r="G130" s="13" t="s">
        <v>43</v>
      </c>
      <c r="H130" s="14" t="s">
        <v>44</v>
      </c>
      <c r="I130" s="14"/>
      <c r="J130" s="14"/>
      <c r="K130" s="14"/>
      <c r="L130" s="15"/>
    </row>
    <row r="131" customFormat="false" ht="15" hidden="false" customHeight="false" outlineLevel="0" collapsed="false">
      <c r="A131" s="10" t="n">
        <v>129</v>
      </c>
      <c r="B131" s="3" t="s">
        <v>285</v>
      </c>
      <c r="C131" s="3" t="s">
        <v>300</v>
      </c>
      <c r="D131" s="16" t="s">
        <v>50</v>
      </c>
      <c r="E131" s="17" t="n">
        <v>2</v>
      </c>
      <c r="F131" s="3" t="s">
        <v>301</v>
      </c>
      <c r="G131" s="13" t="s">
        <v>43</v>
      </c>
      <c r="H131" s="10" t="s">
        <v>44</v>
      </c>
      <c r="I131" s="10"/>
      <c r="J131" s="10"/>
      <c r="K131" s="10"/>
      <c r="L131" s="3"/>
    </row>
    <row r="132" customFormat="false" ht="15" hidden="false" customHeight="false" outlineLevel="0" collapsed="false">
      <c r="A132" s="14" t="n">
        <v>130</v>
      </c>
      <c r="B132" s="15" t="s">
        <v>302</v>
      </c>
      <c r="C132" s="15" t="s">
        <v>303</v>
      </c>
      <c r="D132" s="16" t="s">
        <v>50</v>
      </c>
      <c r="E132" s="12" t="n">
        <v>1</v>
      </c>
      <c r="F132" s="15" t="s">
        <v>304</v>
      </c>
      <c r="G132" s="13" t="s">
        <v>43</v>
      </c>
      <c r="H132" s="14" t="s">
        <v>44</v>
      </c>
      <c r="I132" s="14"/>
      <c r="J132" s="14"/>
      <c r="K132" s="14"/>
      <c r="L132" s="15"/>
    </row>
    <row r="133" customFormat="false" ht="15" hidden="false" customHeight="false" outlineLevel="0" collapsed="false">
      <c r="A133" s="10" t="n">
        <v>131</v>
      </c>
      <c r="B133" s="3" t="s">
        <v>302</v>
      </c>
      <c r="C133" s="3" t="s">
        <v>305</v>
      </c>
      <c r="D133" s="16" t="s">
        <v>50</v>
      </c>
      <c r="E133" s="12" t="n">
        <v>1</v>
      </c>
      <c r="F133" s="3" t="s">
        <v>306</v>
      </c>
      <c r="G133" s="13" t="s">
        <v>43</v>
      </c>
      <c r="H133" s="10" t="s">
        <v>44</v>
      </c>
      <c r="I133" s="10"/>
      <c r="J133" s="10"/>
      <c r="K133" s="10"/>
      <c r="L133" s="3"/>
    </row>
    <row r="134" customFormat="false" ht="15" hidden="false" customHeight="false" outlineLevel="0" collapsed="false">
      <c r="A134" s="14" t="n">
        <v>132</v>
      </c>
      <c r="B134" s="15" t="s">
        <v>302</v>
      </c>
      <c r="C134" s="15" t="s">
        <v>307</v>
      </c>
      <c r="D134" s="16" t="s">
        <v>50</v>
      </c>
      <c r="E134" s="17" t="n">
        <v>2</v>
      </c>
      <c r="F134" s="15" t="s">
        <v>308</v>
      </c>
      <c r="G134" s="13" t="s">
        <v>43</v>
      </c>
      <c r="H134" s="14" t="s">
        <v>44</v>
      </c>
      <c r="I134" s="14"/>
      <c r="J134" s="14"/>
      <c r="K134" s="14"/>
      <c r="L134" s="15"/>
    </row>
    <row r="135" customFormat="false" ht="15" hidden="false" customHeight="false" outlineLevel="0" collapsed="false">
      <c r="A135" s="10" t="n">
        <v>133</v>
      </c>
      <c r="B135" s="3" t="s">
        <v>302</v>
      </c>
      <c r="C135" s="3" t="s">
        <v>309</v>
      </c>
      <c r="D135" s="11" t="s">
        <v>41</v>
      </c>
      <c r="E135" s="12" t="n">
        <v>1</v>
      </c>
      <c r="F135" s="3" t="s">
        <v>310</v>
      </c>
      <c r="G135" s="13" t="s">
        <v>43</v>
      </c>
      <c r="H135" s="10" t="s">
        <v>44</v>
      </c>
      <c r="I135" s="10"/>
      <c r="J135" s="10"/>
      <c r="K135" s="10"/>
      <c r="L135" s="3"/>
    </row>
    <row r="136" customFormat="false" ht="15" hidden="false" customHeight="false" outlineLevel="0" collapsed="false">
      <c r="A136" s="14" t="n">
        <v>134</v>
      </c>
      <c r="B136" s="15" t="s">
        <v>302</v>
      </c>
      <c r="C136" s="15" t="s">
        <v>311</v>
      </c>
      <c r="D136" s="16" t="s">
        <v>50</v>
      </c>
      <c r="E136" s="12" t="n">
        <v>1</v>
      </c>
      <c r="F136" s="15" t="s">
        <v>312</v>
      </c>
      <c r="G136" s="13" t="s">
        <v>43</v>
      </c>
      <c r="H136" s="14" t="s">
        <v>44</v>
      </c>
      <c r="I136" s="14"/>
      <c r="J136" s="14"/>
      <c r="K136" s="14"/>
      <c r="L136" s="15"/>
    </row>
    <row r="137" customFormat="false" ht="15" hidden="false" customHeight="false" outlineLevel="0" collapsed="false">
      <c r="A137" s="10" t="n">
        <v>135</v>
      </c>
      <c r="B137" s="3" t="s">
        <v>302</v>
      </c>
      <c r="C137" s="3" t="s">
        <v>313</v>
      </c>
      <c r="D137" s="18" t="s">
        <v>72</v>
      </c>
      <c r="E137" s="19" t="n">
        <v>3</v>
      </c>
      <c r="F137" s="3" t="s">
        <v>314</v>
      </c>
      <c r="G137" s="13" t="s">
        <v>43</v>
      </c>
      <c r="H137" s="10" t="s">
        <v>44</v>
      </c>
      <c r="I137" s="10"/>
      <c r="J137" s="10"/>
      <c r="K137" s="10"/>
      <c r="L137" s="3"/>
    </row>
    <row r="138" customFormat="false" ht="15" hidden="false" customHeight="false" outlineLevel="0" collapsed="false">
      <c r="A138" s="14" t="n">
        <v>136</v>
      </c>
      <c r="B138" s="15" t="s">
        <v>315</v>
      </c>
      <c r="C138" s="15" t="s">
        <v>316</v>
      </c>
      <c r="D138" s="16" t="s">
        <v>50</v>
      </c>
      <c r="E138" s="12" t="n">
        <v>1</v>
      </c>
      <c r="F138" s="15" t="s">
        <v>317</v>
      </c>
      <c r="G138" s="13" t="s">
        <v>43</v>
      </c>
      <c r="H138" s="14" t="s">
        <v>44</v>
      </c>
      <c r="I138" s="14"/>
      <c r="J138" s="14"/>
      <c r="K138" s="14"/>
      <c r="L138" s="15"/>
    </row>
    <row r="139" customFormat="false" ht="15" hidden="false" customHeight="false" outlineLevel="0" collapsed="false">
      <c r="A139" s="10" t="n">
        <v>137</v>
      </c>
      <c r="B139" s="3" t="s">
        <v>315</v>
      </c>
      <c r="C139" s="3" t="s">
        <v>318</v>
      </c>
      <c r="D139" s="16" t="s">
        <v>50</v>
      </c>
      <c r="E139" s="12" t="n">
        <v>1</v>
      </c>
      <c r="F139" s="3" t="s">
        <v>319</v>
      </c>
      <c r="G139" s="13" t="s">
        <v>43</v>
      </c>
      <c r="H139" s="10" t="s">
        <v>44</v>
      </c>
      <c r="I139" s="10"/>
      <c r="J139" s="10"/>
      <c r="K139" s="10"/>
      <c r="L139" s="3"/>
    </row>
    <row r="140" customFormat="false" ht="15" hidden="false" customHeight="false" outlineLevel="0" collapsed="false">
      <c r="A140" s="14" t="n">
        <v>138</v>
      </c>
      <c r="B140" s="15" t="s">
        <v>315</v>
      </c>
      <c r="C140" s="15" t="s">
        <v>320</v>
      </c>
      <c r="D140" s="16" t="s">
        <v>50</v>
      </c>
      <c r="E140" s="17" t="n">
        <v>2</v>
      </c>
      <c r="F140" s="15" t="s">
        <v>321</v>
      </c>
      <c r="G140" s="13" t="s">
        <v>43</v>
      </c>
      <c r="H140" s="14" t="s">
        <v>44</v>
      </c>
      <c r="I140" s="14"/>
      <c r="J140" s="14"/>
      <c r="K140" s="14"/>
      <c r="L140" s="15"/>
    </row>
    <row r="141" customFormat="false" ht="15" hidden="false" customHeight="false" outlineLevel="0" collapsed="false">
      <c r="A141" s="10" t="n">
        <v>139</v>
      </c>
      <c r="B141" s="3" t="s">
        <v>315</v>
      </c>
      <c r="C141" s="3" t="s">
        <v>322</v>
      </c>
      <c r="D141" s="11" t="s">
        <v>41</v>
      </c>
      <c r="E141" s="12" t="n">
        <v>1</v>
      </c>
      <c r="F141" s="3" t="s">
        <v>323</v>
      </c>
      <c r="G141" s="13" t="s">
        <v>43</v>
      </c>
      <c r="H141" s="10" t="s">
        <v>44</v>
      </c>
      <c r="I141" s="10"/>
      <c r="J141" s="10"/>
      <c r="K141" s="10"/>
      <c r="L141" s="3"/>
    </row>
    <row r="142" customFormat="false" ht="15" hidden="false" customHeight="false" outlineLevel="0" collapsed="false">
      <c r="A142" s="14" t="n">
        <v>140</v>
      </c>
      <c r="B142" s="15" t="s">
        <v>315</v>
      </c>
      <c r="C142" s="15" t="s">
        <v>324</v>
      </c>
      <c r="D142" s="11" t="s">
        <v>41</v>
      </c>
      <c r="E142" s="12" t="n">
        <v>1</v>
      </c>
      <c r="F142" s="15" t="s">
        <v>325</v>
      </c>
      <c r="G142" s="13" t="s">
        <v>43</v>
      </c>
      <c r="H142" s="14" t="s">
        <v>44</v>
      </c>
      <c r="I142" s="14"/>
      <c r="J142" s="14"/>
      <c r="K142" s="14"/>
      <c r="L142" s="15"/>
    </row>
    <row r="143" customFormat="false" ht="15" hidden="false" customHeight="false" outlineLevel="0" collapsed="false">
      <c r="A143" s="10" t="n">
        <v>141</v>
      </c>
      <c r="B143" s="3" t="s">
        <v>315</v>
      </c>
      <c r="C143" s="3" t="s">
        <v>326</v>
      </c>
      <c r="D143" s="16" t="s">
        <v>50</v>
      </c>
      <c r="E143" s="17" t="n">
        <v>2</v>
      </c>
      <c r="F143" s="3" t="s">
        <v>327</v>
      </c>
      <c r="G143" s="13" t="s">
        <v>43</v>
      </c>
      <c r="H143" s="10" t="s">
        <v>44</v>
      </c>
      <c r="I143" s="10"/>
      <c r="J143" s="10"/>
      <c r="K143" s="10"/>
      <c r="L143" s="3"/>
    </row>
    <row r="144" customFormat="false" ht="15" hidden="false" customHeight="false" outlineLevel="0" collapsed="false">
      <c r="A144" s="14" t="n">
        <v>142</v>
      </c>
      <c r="B144" s="15" t="s">
        <v>315</v>
      </c>
      <c r="C144" s="15" t="s">
        <v>328</v>
      </c>
      <c r="D144" s="16" t="s">
        <v>50</v>
      </c>
      <c r="E144" s="19" t="n">
        <v>3</v>
      </c>
      <c r="F144" s="15" t="s">
        <v>329</v>
      </c>
      <c r="G144" s="13" t="s">
        <v>43</v>
      </c>
      <c r="H144" s="14" t="s">
        <v>44</v>
      </c>
      <c r="I144" s="14"/>
      <c r="J144" s="14"/>
      <c r="K144" s="14"/>
      <c r="L144" s="15"/>
    </row>
    <row r="145" customFormat="false" ht="15" hidden="false" customHeight="false" outlineLevel="0" collapsed="false">
      <c r="A145" s="10" t="n">
        <v>143</v>
      </c>
      <c r="B145" s="3" t="s">
        <v>315</v>
      </c>
      <c r="C145" s="3" t="s">
        <v>330</v>
      </c>
      <c r="D145" s="16" t="s">
        <v>50</v>
      </c>
      <c r="E145" s="17" t="n">
        <v>2</v>
      </c>
      <c r="F145" s="3" t="s">
        <v>331</v>
      </c>
      <c r="G145" s="13" t="s">
        <v>43</v>
      </c>
      <c r="H145" s="10" t="s">
        <v>44</v>
      </c>
      <c r="I145" s="10"/>
      <c r="J145" s="10"/>
      <c r="K145" s="10"/>
      <c r="L145" s="3"/>
    </row>
    <row r="146" customFormat="false" ht="15" hidden="false" customHeight="false" outlineLevel="0" collapsed="false">
      <c r="A146" s="14" t="n">
        <v>144</v>
      </c>
      <c r="B146" s="15" t="s">
        <v>332</v>
      </c>
      <c r="C146" s="15" t="s">
        <v>333</v>
      </c>
      <c r="D146" s="11" t="s">
        <v>41</v>
      </c>
      <c r="E146" s="12" t="n">
        <v>1</v>
      </c>
      <c r="F146" s="15" t="s">
        <v>334</v>
      </c>
      <c r="G146" s="13" t="s">
        <v>43</v>
      </c>
      <c r="H146" s="14" t="s">
        <v>44</v>
      </c>
      <c r="I146" s="14"/>
      <c r="J146" s="14"/>
      <c r="K146" s="14"/>
      <c r="L146" s="15"/>
    </row>
    <row r="147" customFormat="false" ht="15" hidden="false" customHeight="false" outlineLevel="0" collapsed="false">
      <c r="A147" s="10" t="n">
        <v>145</v>
      </c>
      <c r="B147" s="3" t="s">
        <v>332</v>
      </c>
      <c r="C147" s="3" t="s">
        <v>335</v>
      </c>
      <c r="D147" s="11" t="s">
        <v>41</v>
      </c>
      <c r="E147" s="12" t="n">
        <v>1</v>
      </c>
      <c r="F147" s="3" t="s">
        <v>336</v>
      </c>
      <c r="G147" s="13" t="s">
        <v>43</v>
      </c>
      <c r="H147" s="10" t="s">
        <v>44</v>
      </c>
      <c r="I147" s="10"/>
      <c r="J147" s="10"/>
      <c r="K147" s="10"/>
      <c r="L147" s="3"/>
    </row>
    <row r="148" customFormat="false" ht="15" hidden="false" customHeight="false" outlineLevel="0" collapsed="false">
      <c r="A148" s="14" t="n">
        <v>146</v>
      </c>
      <c r="B148" s="15" t="s">
        <v>332</v>
      </c>
      <c r="C148" s="15" t="s">
        <v>337</v>
      </c>
      <c r="D148" s="11" t="s">
        <v>41</v>
      </c>
      <c r="E148" s="12" t="n">
        <v>1</v>
      </c>
      <c r="F148" s="15" t="s">
        <v>338</v>
      </c>
      <c r="G148" s="13" t="s">
        <v>43</v>
      </c>
      <c r="H148" s="14" t="s">
        <v>44</v>
      </c>
      <c r="I148" s="14"/>
      <c r="J148" s="14"/>
      <c r="K148" s="14"/>
      <c r="L148" s="15"/>
    </row>
    <row r="149" customFormat="false" ht="15" hidden="false" customHeight="false" outlineLevel="0" collapsed="false">
      <c r="A149" s="10" t="n">
        <v>147</v>
      </c>
      <c r="B149" s="3" t="s">
        <v>332</v>
      </c>
      <c r="C149" s="3" t="s">
        <v>339</v>
      </c>
      <c r="D149" s="11" t="s">
        <v>41</v>
      </c>
      <c r="E149" s="12" t="n">
        <v>1</v>
      </c>
      <c r="F149" s="3" t="s">
        <v>340</v>
      </c>
      <c r="G149" s="13" t="s">
        <v>43</v>
      </c>
      <c r="H149" s="10" t="s">
        <v>44</v>
      </c>
      <c r="I149" s="10"/>
      <c r="J149" s="10"/>
      <c r="K149" s="10"/>
      <c r="L149" s="3"/>
    </row>
    <row r="150" customFormat="false" ht="15" hidden="false" customHeight="false" outlineLevel="0" collapsed="false">
      <c r="A150" s="14" t="n">
        <v>148</v>
      </c>
      <c r="B150" s="15" t="s">
        <v>332</v>
      </c>
      <c r="C150" s="15" t="s">
        <v>341</v>
      </c>
      <c r="D150" s="11" t="s">
        <v>41</v>
      </c>
      <c r="E150" s="12" t="n">
        <v>1</v>
      </c>
      <c r="F150" s="15" t="s">
        <v>342</v>
      </c>
      <c r="G150" s="13" t="s">
        <v>43</v>
      </c>
      <c r="H150" s="14" t="s">
        <v>44</v>
      </c>
      <c r="I150" s="14"/>
      <c r="J150" s="14"/>
      <c r="K150" s="14"/>
      <c r="L150" s="15"/>
    </row>
    <row r="151" customFormat="false" ht="15" hidden="false" customHeight="false" outlineLevel="0" collapsed="false">
      <c r="A151" s="10" t="n">
        <v>149</v>
      </c>
      <c r="B151" s="3" t="s">
        <v>332</v>
      </c>
      <c r="C151" s="3" t="s">
        <v>343</v>
      </c>
      <c r="D151" s="16" t="s">
        <v>50</v>
      </c>
      <c r="E151" s="17" t="n">
        <v>2</v>
      </c>
      <c r="F151" s="3" t="s">
        <v>344</v>
      </c>
      <c r="G151" s="13" t="s">
        <v>43</v>
      </c>
      <c r="H151" s="10" t="s">
        <v>44</v>
      </c>
      <c r="I151" s="10"/>
      <c r="J151" s="10"/>
      <c r="K151" s="10"/>
      <c r="L151" s="3"/>
    </row>
    <row r="152" customFormat="false" ht="15" hidden="false" customHeight="false" outlineLevel="0" collapsed="false">
      <c r="A152" s="14" t="n">
        <v>150</v>
      </c>
      <c r="B152" s="15" t="s">
        <v>332</v>
      </c>
      <c r="C152" s="15" t="s">
        <v>345</v>
      </c>
      <c r="D152" s="16" t="s">
        <v>50</v>
      </c>
      <c r="E152" s="17" t="n">
        <v>2</v>
      </c>
      <c r="F152" s="15" t="s">
        <v>346</v>
      </c>
      <c r="G152" s="13" t="s">
        <v>43</v>
      </c>
      <c r="H152" s="14" t="s">
        <v>44</v>
      </c>
      <c r="I152" s="14"/>
      <c r="J152" s="14"/>
      <c r="K152" s="14"/>
      <c r="L152" s="15"/>
    </row>
  </sheetData>
  <mergeCells count="1">
    <mergeCell ref="A1:L1"/>
  </mergeCells>
  <dataValidations count="2">
    <dataValidation allowBlank="true" errorStyle="stop" operator="between" showDropDown="false" showErrorMessage="false" showInputMessage="false" sqref="H3:H152" type="list">
      <formula1>"Not Started,In Progress,Solved,Needs Review"</formula1>
      <formula2>0</formula2>
    </dataValidation>
    <dataValidation allowBlank="true" errorStyle="stop" operator="between" showDropDown="false" showErrorMessage="false" showInputMessage="false" sqref="I3:I152" type="list">
      <formula1>"1,2,3,4,5"</formula1>
      <formula2>0</formula2>
    </dataValidation>
  </dataValidations>
  <hyperlinks>
    <hyperlink ref="G3" r:id="rId1" display="Solve"/>
    <hyperlink ref="G4" r:id="rId2" display="Solve"/>
    <hyperlink ref="G5" r:id="rId3" display="Solve"/>
    <hyperlink ref="G6" r:id="rId4" display="Solve"/>
    <hyperlink ref="G7" r:id="rId5" display="Solve"/>
    <hyperlink ref="G8" r:id="rId6" display="Solve"/>
    <hyperlink ref="G9" r:id="rId7" display="Solve"/>
    <hyperlink ref="G10" r:id="rId8" display="Solve"/>
    <hyperlink ref="G11" r:id="rId9" display="Solve"/>
    <hyperlink ref="G12" r:id="rId10" display="Solve"/>
    <hyperlink ref="G13" r:id="rId11" display="Solve"/>
    <hyperlink ref="G14" r:id="rId12" display="Solve"/>
    <hyperlink ref="G15" r:id="rId13" display="Solve"/>
    <hyperlink ref="G16" r:id="rId14" display="Solve"/>
    <hyperlink ref="G17" r:id="rId15" display="Solve"/>
    <hyperlink ref="G18" r:id="rId16" display="Solve"/>
    <hyperlink ref="G19" r:id="rId17" display="Solve"/>
    <hyperlink ref="G20" r:id="rId18" display="Solve"/>
    <hyperlink ref="G21" r:id="rId19" display="Solve"/>
    <hyperlink ref="G22" r:id="rId20" display="Solve"/>
    <hyperlink ref="G23" r:id="rId21" display="Solve"/>
    <hyperlink ref="G24" r:id="rId22" display="Solve"/>
    <hyperlink ref="G25" r:id="rId23" display="Solve"/>
    <hyperlink ref="G26" r:id="rId24" display="Solve"/>
    <hyperlink ref="G27" r:id="rId25" display="Solve"/>
    <hyperlink ref="G28" r:id="rId26" display="Solve"/>
    <hyperlink ref="G29" r:id="rId27" display="Solve"/>
    <hyperlink ref="G30" r:id="rId28" display="Solve"/>
    <hyperlink ref="G31" r:id="rId29" display="Solve"/>
    <hyperlink ref="G32" r:id="rId30" display="Solve"/>
    <hyperlink ref="G33" r:id="rId31" display="Solve"/>
    <hyperlink ref="G34" r:id="rId32" display="Solve"/>
    <hyperlink ref="G35" r:id="rId33" display="Solve"/>
    <hyperlink ref="G36" r:id="rId34" display="Solve"/>
    <hyperlink ref="G37" r:id="rId35" display="Solve"/>
    <hyperlink ref="G38" r:id="rId36" display="Solve"/>
    <hyperlink ref="G39" r:id="rId37" display="Solve"/>
    <hyperlink ref="G40" r:id="rId38" display="Solve"/>
    <hyperlink ref="G41" r:id="rId39" display="Solve"/>
    <hyperlink ref="G42" r:id="rId40" display="Solve"/>
    <hyperlink ref="G43" r:id="rId41" display="Solve"/>
    <hyperlink ref="G44" r:id="rId42" display="Solve"/>
    <hyperlink ref="G45" r:id="rId43" display="Solve"/>
    <hyperlink ref="G46" r:id="rId44" display="Solve"/>
    <hyperlink ref="G47" r:id="rId45" display="Solve"/>
    <hyperlink ref="G48" r:id="rId46" display="Solve"/>
    <hyperlink ref="G49" r:id="rId47" display="Solve"/>
    <hyperlink ref="G50" r:id="rId48" display="Solve"/>
    <hyperlink ref="G51" r:id="rId49" display="Solve"/>
    <hyperlink ref="G52" r:id="rId50" display="Solve"/>
    <hyperlink ref="G53" r:id="rId51" display="Solve"/>
    <hyperlink ref="G54" r:id="rId52" display="Solve"/>
    <hyperlink ref="G55" r:id="rId53" display="Solve"/>
    <hyperlink ref="G56" r:id="rId54" display="Solve"/>
    <hyperlink ref="G57" r:id="rId55" display="Solve"/>
    <hyperlink ref="G58" r:id="rId56" display="Solve"/>
    <hyperlink ref="G59" r:id="rId57" display="Solve"/>
    <hyperlink ref="G60" r:id="rId58" display="Solve"/>
    <hyperlink ref="G61" r:id="rId59" display="Solve"/>
    <hyperlink ref="G62" r:id="rId60" display="Solve"/>
    <hyperlink ref="G63" r:id="rId61" display="Solve"/>
    <hyperlink ref="G64" r:id="rId62" display="Solve"/>
    <hyperlink ref="G65" r:id="rId63" display="Solve"/>
    <hyperlink ref="G66" r:id="rId64" display="Solve"/>
    <hyperlink ref="G67" r:id="rId65" display="Solve"/>
    <hyperlink ref="G68" r:id="rId66" display="Solve"/>
    <hyperlink ref="G69" r:id="rId67" display="Solve"/>
    <hyperlink ref="G70" r:id="rId68" display="Solve"/>
    <hyperlink ref="G71" r:id="rId69" display="Solve"/>
    <hyperlink ref="G72" r:id="rId70" display="Solve"/>
    <hyperlink ref="G73" r:id="rId71" display="Solve"/>
    <hyperlink ref="G74" r:id="rId72" display="Solve"/>
    <hyperlink ref="G75" r:id="rId73" display="Solve"/>
    <hyperlink ref="G76" r:id="rId74" display="Solve"/>
    <hyperlink ref="G77" r:id="rId75" display="Solve"/>
    <hyperlink ref="G78" r:id="rId76" display="Solve"/>
    <hyperlink ref="G79" r:id="rId77" display="Solve"/>
    <hyperlink ref="G80" r:id="rId78" display="Solve"/>
    <hyperlink ref="G81" r:id="rId79" display="Solve"/>
    <hyperlink ref="G82" r:id="rId80" display="Solve"/>
    <hyperlink ref="G83" r:id="rId81" display="Solve"/>
    <hyperlink ref="G84" r:id="rId82" display="Solve"/>
    <hyperlink ref="G85" r:id="rId83" display="Solve"/>
    <hyperlink ref="G86" r:id="rId84" display="Solve"/>
    <hyperlink ref="G87" r:id="rId85" display="Solve"/>
    <hyperlink ref="G88" r:id="rId86" display="Solve"/>
    <hyperlink ref="G89" r:id="rId87" display="Solve"/>
    <hyperlink ref="G90" r:id="rId88" display="Solve"/>
    <hyperlink ref="G91" r:id="rId89" display="Solve"/>
    <hyperlink ref="G92" r:id="rId90" display="Solve"/>
    <hyperlink ref="G93" r:id="rId91" display="Solve"/>
    <hyperlink ref="G94" r:id="rId92" display="Solve"/>
    <hyperlink ref="G95" r:id="rId93" display="Solve"/>
    <hyperlink ref="G96" r:id="rId94" display="Solve"/>
    <hyperlink ref="G97" r:id="rId95" display="Solve"/>
    <hyperlink ref="G98" r:id="rId96" display="Solve"/>
    <hyperlink ref="G99" r:id="rId97" display="Solve"/>
    <hyperlink ref="G100" r:id="rId98" display="Solve"/>
    <hyperlink ref="G101" r:id="rId99" display="Solve"/>
    <hyperlink ref="G102" r:id="rId100" display="Solve"/>
    <hyperlink ref="G103" r:id="rId101" display="Solve"/>
    <hyperlink ref="G104" r:id="rId102" display="Solve"/>
    <hyperlink ref="G105" r:id="rId103" display="Solve"/>
    <hyperlink ref="G106" r:id="rId104" display="Solve"/>
    <hyperlink ref="G107" r:id="rId105" display="Solve"/>
    <hyperlink ref="G108" r:id="rId106" display="Solve"/>
    <hyperlink ref="G109" r:id="rId107" display="Solve"/>
    <hyperlink ref="G110" r:id="rId108" display="Solve"/>
    <hyperlink ref="G111" r:id="rId109" display="Solve"/>
    <hyperlink ref="G112" r:id="rId110" display="Solve"/>
    <hyperlink ref="G113" r:id="rId111" display="Solve"/>
    <hyperlink ref="G114" r:id="rId112" display="Solve"/>
    <hyperlink ref="G115" r:id="rId113" display="Solve"/>
    <hyperlink ref="G116" r:id="rId114" display="Solve"/>
    <hyperlink ref="G117" r:id="rId115" display="Solve"/>
    <hyperlink ref="G118" r:id="rId116" display="Solve"/>
    <hyperlink ref="G119" r:id="rId117" display="Solve"/>
    <hyperlink ref="G120" r:id="rId118" display="Solve"/>
    <hyperlink ref="G121" r:id="rId119" display="Solve"/>
    <hyperlink ref="G122" r:id="rId120" display="Solve"/>
    <hyperlink ref="G123" r:id="rId121" display="Solve"/>
    <hyperlink ref="G124" r:id="rId122" display="Solve"/>
    <hyperlink ref="G125" r:id="rId123" display="Solve"/>
    <hyperlink ref="G126" r:id="rId124" display="Solve"/>
    <hyperlink ref="G127" r:id="rId125" display="Solve"/>
    <hyperlink ref="G128" r:id="rId126" display="Solve"/>
    <hyperlink ref="G129" r:id="rId127" display="Solve"/>
    <hyperlink ref="G130" r:id="rId128" display="Solve"/>
    <hyperlink ref="G131" r:id="rId129" display="Solve"/>
    <hyperlink ref="G132" r:id="rId130" display="Solve"/>
    <hyperlink ref="G133" r:id="rId131" display="Solve"/>
    <hyperlink ref="G134" r:id="rId132" display="Solve"/>
    <hyperlink ref="G135" r:id="rId133" display="Solve"/>
    <hyperlink ref="G136" r:id="rId134" display="Solve"/>
    <hyperlink ref="G137" r:id="rId135" display="Solve"/>
    <hyperlink ref="G138" r:id="rId136" display="Solve"/>
    <hyperlink ref="G139" r:id="rId137" display="Solve"/>
    <hyperlink ref="G140" r:id="rId138" display="Solve"/>
    <hyperlink ref="G141" r:id="rId139" display="Solve"/>
    <hyperlink ref="G142" r:id="rId140" display="Solve"/>
    <hyperlink ref="G143" r:id="rId141" display="Solve"/>
    <hyperlink ref="G144" r:id="rId142" display="Solve"/>
    <hyperlink ref="G145" r:id="rId143" display="Solve"/>
    <hyperlink ref="G146" r:id="rId144" display="Solve"/>
    <hyperlink ref="G147" r:id="rId145" display="Solve"/>
    <hyperlink ref="G148" r:id="rId146" display="Solve"/>
    <hyperlink ref="G149" r:id="rId147" display="Solve"/>
    <hyperlink ref="G150" r:id="rId148" display="Solve"/>
    <hyperlink ref="G151" r:id="rId149" display="Solve"/>
    <hyperlink ref="G152" r:id="rId150" display="Solv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40"/>
  </cols>
  <sheetData>
    <row r="1" customFormat="false" ht="25.5" hidden="false" customHeight="true" outlineLevel="0" collapsed="false">
      <c r="A1" s="8" t="s">
        <v>347</v>
      </c>
      <c r="B1" s="8"/>
      <c r="C1" s="8"/>
      <c r="D1" s="8"/>
    </row>
    <row r="2" customFormat="false" ht="27.75" hidden="false" customHeight="true" outlineLevel="0" collapsed="false">
      <c r="A2" s="9" t="s">
        <v>348</v>
      </c>
      <c r="B2" s="9" t="s">
        <v>349</v>
      </c>
      <c r="C2" s="9" t="s">
        <v>350</v>
      </c>
      <c r="D2" s="9" t="s">
        <v>351</v>
      </c>
    </row>
    <row r="3" customFormat="false" ht="45.75" hidden="false" customHeight="true" outlineLevel="0" collapsed="false">
      <c r="A3" s="20" t="s">
        <v>62</v>
      </c>
      <c r="B3" s="21" t="s">
        <v>352</v>
      </c>
      <c r="C3" s="21" t="s">
        <v>353</v>
      </c>
      <c r="D3" s="21" t="s">
        <v>354</v>
      </c>
    </row>
    <row r="4" customFormat="false" ht="45.75" hidden="false" customHeight="true" outlineLevel="0" collapsed="false">
      <c r="A4" s="4" t="s">
        <v>74</v>
      </c>
      <c r="B4" s="3" t="s">
        <v>355</v>
      </c>
      <c r="C4" s="3" t="s">
        <v>356</v>
      </c>
      <c r="D4" s="3" t="s">
        <v>357</v>
      </c>
    </row>
    <row r="5" customFormat="false" ht="45.75" hidden="false" customHeight="true" outlineLevel="0" collapsed="false">
      <c r="A5" s="20" t="s">
        <v>358</v>
      </c>
      <c r="B5" s="21" t="s">
        <v>359</v>
      </c>
      <c r="C5" s="21" t="s">
        <v>360</v>
      </c>
      <c r="D5" s="21" t="s">
        <v>361</v>
      </c>
    </row>
    <row r="6" customFormat="false" ht="45.75" hidden="false" customHeight="true" outlineLevel="0" collapsed="false">
      <c r="A6" s="4" t="s">
        <v>362</v>
      </c>
      <c r="B6" s="3" t="s">
        <v>363</v>
      </c>
      <c r="C6" s="3" t="s">
        <v>364</v>
      </c>
      <c r="D6" s="3" t="s">
        <v>365</v>
      </c>
    </row>
    <row r="7" customFormat="false" ht="45.75" hidden="false" customHeight="true" outlineLevel="0" collapsed="false">
      <c r="A7" s="20" t="s">
        <v>366</v>
      </c>
      <c r="B7" s="21" t="s">
        <v>367</v>
      </c>
      <c r="C7" s="21" t="s">
        <v>368</v>
      </c>
      <c r="D7" s="21" t="s">
        <v>369</v>
      </c>
    </row>
    <row r="8" customFormat="false" ht="45.75" hidden="false" customHeight="true" outlineLevel="0" collapsed="false">
      <c r="A8" s="4" t="s">
        <v>101</v>
      </c>
      <c r="B8" s="3" t="s">
        <v>370</v>
      </c>
      <c r="C8" s="3" t="s">
        <v>371</v>
      </c>
      <c r="D8" s="3" t="s">
        <v>372</v>
      </c>
    </row>
    <row r="9" customFormat="false" ht="45.75" hidden="false" customHeight="true" outlineLevel="0" collapsed="false">
      <c r="A9" s="20" t="s">
        <v>373</v>
      </c>
      <c r="B9" s="21" t="s">
        <v>374</v>
      </c>
      <c r="C9" s="21" t="s">
        <v>375</v>
      </c>
      <c r="D9" s="21" t="s">
        <v>376</v>
      </c>
    </row>
    <row r="10" customFormat="false" ht="45.75" hidden="false" customHeight="true" outlineLevel="0" collapsed="false">
      <c r="A10" s="4" t="s">
        <v>377</v>
      </c>
      <c r="B10" s="3" t="s">
        <v>378</v>
      </c>
      <c r="C10" s="3" t="s">
        <v>379</v>
      </c>
      <c r="D10" s="3" t="s">
        <v>380</v>
      </c>
    </row>
    <row r="11" customFormat="false" ht="45.75" hidden="false" customHeight="true" outlineLevel="0" collapsed="false">
      <c r="A11" s="20" t="s">
        <v>381</v>
      </c>
      <c r="B11" s="21" t="s">
        <v>382</v>
      </c>
      <c r="C11" s="21" t="s">
        <v>383</v>
      </c>
      <c r="D11" s="21" t="s">
        <v>384</v>
      </c>
    </row>
    <row r="12" customFormat="false" ht="45.75" hidden="false" customHeight="true" outlineLevel="0" collapsed="false">
      <c r="A12" s="4" t="s">
        <v>385</v>
      </c>
      <c r="B12" s="3" t="s">
        <v>386</v>
      </c>
      <c r="C12" s="3" t="s">
        <v>387</v>
      </c>
      <c r="D12" s="3" t="s">
        <v>388</v>
      </c>
    </row>
    <row r="13" customFormat="false" ht="45.75" hidden="false" customHeight="true" outlineLevel="0" collapsed="false">
      <c r="A13" s="20" t="s">
        <v>175</v>
      </c>
      <c r="B13" s="21" t="s">
        <v>389</v>
      </c>
      <c r="C13" s="21" t="s">
        <v>390</v>
      </c>
      <c r="D13" s="21" t="s">
        <v>391</v>
      </c>
    </row>
    <row r="14" customFormat="false" ht="45.75" hidden="false" customHeight="true" outlineLevel="0" collapsed="false">
      <c r="A14" s="4" t="s">
        <v>392</v>
      </c>
      <c r="B14" s="3" t="s">
        <v>393</v>
      </c>
      <c r="C14" s="3" t="s">
        <v>394</v>
      </c>
      <c r="D14" s="3" t="s">
        <v>395</v>
      </c>
    </row>
    <row r="15" customFormat="false" ht="45.75" hidden="false" customHeight="true" outlineLevel="0" collapsed="false">
      <c r="A15" s="20" t="s">
        <v>285</v>
      </c>
      <c r="B15" s="21" t="s">
        <v>396</v>
      </c>
      <c r="C15" s="21" t="s">
        <v>397</v>
      </c>
      <c r="D15" s="21" t="s">
        <v>398</v>
      </c>
    </row>
    <row r="16" customFormat="false" ht="45.75" hidden="false" customHeight="true" outlineLevel="0" collapsed="false">
      <c r="A16" s="4" t="s">
        <v>302</v>
      </c>
      <c r="B16" s="3" t="s">
        <v>399</v>
      </c>
      <c r="C16" s="3" t="s">
        <v>400</v>
      </c>
      <c r="D16" s="3" t="s">
        <v>401</v>
      </c>
    </row>
    <row r="17" customFormat="false" ht="45.75" hidden="false" customHeight="true" outlineLevel="0" collapsed="false">
      <c r="A17" s="20" t="s">
        <v>402</v>
      </c>
      <c r="B17" s="21" t="s">
        <v>403</v>
      </c>
      <c r="C17" s="21" t="s">
        <v>404</v>
      </c>
      <c r="D17" s="21" t="s">
        <v>405</v>
      </c>
    </row>
    <row r="18" customFormat="false" ht="45.75" hidden="false" customHeight="true" outlineLevel="0" collapsed="false">
      <c r="A18" s="4" t="s">
        <v>406</v>
      </c>
      <c r="B18" s="3" t="s">
        <v>407</v>
      </c>
      <c r="C18" s="3" t="s">
        <v>408</v>
      </c>
      <c r="D18" s="3" t="s">
        <v>409</v>
      </c>
    </row>
    <row r="19" customFormat="false" ht="45.75" hidden="false" customHeight="true" outlineLevel="0" collapsed="false">
      <c r="A19" s="20" t="s">
        <v>332</v>
      </c>
      <c r="B19" s="21" t="s">
        <v>410</v>
      </c>
      <c r="C19" s="21" t="s">
        <v>411</v>
      </c>
      <c r="D19" s="21" t="s">
        <v>412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2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8" t="s">
        <v>413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9" t="s">
        <v>414</v>
      </c>
      <c r="B2" s="9" t="s">
        <v>415</v>
      </c>
      <c r="C2" s="9" t="s">
        <v>416</v>
      </c>
      <c r="D2" s="9" t="s">
        <v>417</v>
      </c>
      <c r="E2" s="9" t="s">
        <v>34</v>
      </c>
      <c r="F2" s="9" t="s">
        <v>38</v>
      </c>
    </row>
    <row r="3" customFormat="false" ht="42" hidden="false" customHeight="true" outlineLevel="0" collapsed="false">
      <c r="A3" s="20" t="s">
        <v>418</v>
      </c>
      <c r="B3" s="21" t="s">
        <v>419</v>
      </c>
      <c r="C3" s="21" t="s">
        <v>420</v>
      </c>
      <c r="D3" s="22" t="s">
        <v>421</v>
      </c>
      <c r="E3" s="23" t="s">
        <v>44</v>
      </c>
      <c r="F3" s="21"/>
    </row>
    <row r="4" customFormat="false" ht="42" hidden="false" customHeight="true" outlineLevel="0" collapsed="false">
      <c r="A4" s="4" t="s">
        <v>422</v>
      </c>
      <c r="B4" s="3" t="s">
        <v>423</v>
      </c>
      <c r="C4" s="3" t="s">
        <v>424</v>
      </c>
      <c r="D4" s="13" t="s">
        <v>421</v>
      </c>
      <c r="E4" s="10" t="s">
        <v>44</v>
      </c>
      <c r="F4" s="3"/>
    </row>
    <row r="5" customFormat="false" ht="42" hidden="false" customHeight="true" outlineLevel="0" collapsed="false">
      <c r="A5" s="20" t="s">
        <v>425</v>
      </c>
      <c r="B5" s="21" t="s">
        <v>426</v>
      </c>
      <c r="C5" s="21" t="s">
        <v>427</v>
      </c>
      <c r="D5" s="22" t="s">
        <v>421</v>
      </c>
      <c r="E5" s="23" t="s">
        <v>44</v>
      </c>
      <c r="F5" s="21"/>
    </row>
    <row r="6" customFormat="false" ht="42" hidden="false" customHeight="true" outlineLevel="0" collapsed="false">
      <c r="A6" s="4" t="s">
        <v>428</v>
      </c>
      <c r="B6" s="3" t="s">
        <v>429</v>
      </c>
      <c r="C6" s="3" t="s">
        <v>430</v>
      </c>
      <c r="D6" s="13" t="s">
        <v>421</v>
      </c>
      <c r="E6" s="10" t="s">
        <v>44</v>
      </c>
      <c r="F6" s="3"/>
    </row>
    <row r="7" customFormat="false" ht="42" hidden="false" customHeight="true" outlineLevel="0" collapsed="false">
      <c r="A7" s="20" t="s">
        <v>431</v>
      </c>
      <c r="B7" s="21" t="s">
        <v>432</v>
      </c>
      <c r="C7" s="21" t="s">
        <v>433</v>
      </c>
      <c r="D7" s="22" t="s">
        <v>421</v>
      </c>
      <c r="E7" s="23" t="s">
        <v>44</v>
      </c>
      <c r="F7" s="21"/>
    </row>
    <row r="8" customFormat="false" ht="42" hidden="false" customHeight="true" outlineLevel="0" collapsed="false">
      <c r="A8" s="4" t="s">
        <v>434</v>
      </c>
      <c r="B8" s="3" t="s">
        <v>435</v>
      </c>
      <c r="C8" s="3" t="s">
        <v>436</v>
      </c>
      <c r="D8" s="13" t="s">
        <v>421</v>
      </c>
      <c r="E8" s="10" t="s">
        <v>44</v>
      </c>
      <c r="F8" s="3"/>
    </row>
    <row r="9" customFormat="false" ht="42" hidden="false" customHeight="true" outlineLevel="0" collapsed="false">
      <c r="A9" s="20" t="s">
        <v>437</v>
      </c>
      <c r="B9" s="21" t="s">
        <v>438</v>
      </c>
      <c r="C9" s="21" t="s">
        <v>439</v>
      </c>
      <c r="D9" s="22" t="s">
        <v>421</v>
      </c>
      <c r="E9" s="23" t="s">
        <v>44</v>
      </c>
      <c r="F9" s="21"/>
    </row>
    <row r="10" customFormat="false" ht="42" hidden="false" customHeight="true" outlineLevel="0" collapsed="false">
      <c r="A10" s="4" t="s">
        <v>440</v>
      </c>
      <c r="B10" s="3" t="s">
        <v>441</v>
      </c>
      <c r="C10" s="3" t="s">
        <v>442</v>
      </c>
      <c r="D10" s="13" t="s">
        <v>421</v>
      </c>
      <c r="E10" s="10" t="s">
        <v>44</v>
      </c>
      <c r="F10" s="3"/>
    </row>
    <row r="11" customFormat="false" ht="42" hidden="false" customHeight="true" outlineLevel="0" collapsed="false">
      <c r="A11" s="20" t="s">
        <v>443</v>
      </c>
      <c r="B11" s="21" t="s">
        <v>444</v>
      </c>
      <c r="C11" s="21" t="s">
        <v>445</v>
      </c>
      <c r="D11" s="22" t="s">
        <v>421</v>
      </c>
      <c r="E11" s="23" t="s">
        <v>44</v>
      </c>
      <c r="F11" s="21"/>
    </row>
    <row r="12" customFormat="false" ht="42" hidden="false" customHeight="true" outlineLevel="0" collapsed="false">
      <c r="A12" s="4" t="s">
        <v>446</v>
      </c>
      <c r="B12" s="3" t="s">
        <v>447</v>
      </c>
      <c r="C12" s="3" t="s">
        <v>448</v>
      </c>
      <c r="D12" s="13" t="s">
        <v>421</v>
      </c>
      <c r="E12" s="10" t="s">
        <v>44</v>
      </c>
      <c r="F12" s="3"/>
    </row>
    <row r="13" customFormat="false" ht="42" hidden="false" customHeight="true" outlineLevel="0" collapsed="false">
      <c r="A13" s="20" t="s">
        <v>449</v>
      </c>
      <c r="B13" s="21" t="s">
        <v>450</v>
      </c>
      <c r="C13" s="21" t="s">
        <v>451</v>
      </c>
      <c r="D13" s="22" t="s">
        <v>421</v>
      </c>
      <c r="E13" s="23" t="s">
        <v>44</v>
      </c>
      <c r="F13" s="21"/>
    </row>
    <row r="14" customFormat="false" ht="42" hidden="false" customHeight="true" outlineLevel="0" collapsed="false">
      <c r="A14" s="4" t="s">
        <v>452</v>
      </c>
      <c r="B14" s="3" t="s">
        <v>453</v>
      </c>
      <c r="C14" s="3" t="s">
        <v>454</v>
      </c>
      <c r="D14" s="13" t="s">
        <v>421</v>
      </c>
      <c r="E14" s="10" t="s">
        <v>44</v>
      </c>
      <c r="F14" s="3"/>
    </row>
    <row r="15" customFormat="false" ht="42" hidden="false" customHeight="true" outlineLevel="0" collapsed="false">
      <c r="A15" s="20" t="s">
        <v>455</v>
      </c>
      <c r="B15" s="21" t="s">
        <v>456</v>
      </c>
      <c r="C15" s="21" t="s">
        <v>457</v>
      </c>
      <c r="D15" s="22" t="s">
        <v>421</v>
      </c>
      <c r="E15" s="23" t="s">
        <v>44</v>
      </c>
      <c r="F15" s="21"/>
    </row>
    <row r="16" customFormat="false" ht="42" hidden="false" customHeight="true" outlineLevel="0" collapsed="false">
      <c r="A16" s="4" t="s">
        <v>458</v>
      </c>
      <c r="B16" s="3" t="s">
        <v>459</v>
      </c>
      <c r="C16" s="3" t="s">
        <v>460</v>
      </c>
      <c r="D16" s="13" t="s">
        <v>421</v>
      </c>
      <c r="E16" s="10" t="s">
        <v>44</v>
      </c>
      <c r="F16" s="3"/>
    </row>
    <row r="17" customFormat="false" ht="42" hidden="false" customHeight="true" outlineLevel="0" collapsed="false">
      <c r="A17" s="20" t="s">
        <v>461</v>
      </c>
      <c r="B17" s="21" t="s">
        <v>462</v>
      </c>
      <c r="C17" s="21" t="s">
        <v>463</v>
      </c>
      <c r="D17" s="22" t="s">
        <v>421</v>
      </c>
      <c r="E17" s="23" t="s">
        <v>44</v>
      </c>
      <c r="F17" s="21"/>
    </row>
    <row r="18" customFormat="false" ht="42" hidden="false" customHeight="true" outlineLevel="0" collapsed="false">
      <c r="A18" s="4" t="s">
        <v>464</v>
      </c>
      <c r="B18" s="3" t="s">
        <v>465</v>
      </c>
      <c r="C18" s="3" t="s">
        <v>466</v>
      </c>
      <c r="D18" s="13" t="s">
        <v>421</v>
      </c>
      <c r="E18" s="10" t="s">
        <v>44</v>
      </c>
      <c r="F18" s="3"/>
    </row>
    <row r="19" customFormat="false" ht="42" hidden="false" customHeight="true" outlineLevel="0" collapsed="false">
      <c r="A19" s="20" t="s">
        <v>467</v>
      </c>
      <c r="B19" s="21" t="s">
        <v>468</v>
      </c>
      <c r="C19" s="21" t="s">
        <v>469</v>
      </c>
      <c r="D19" s="22" t="s">
        <v>421</v>
      </c>
      <c r="E19" s="23" t="s">
        <v>44</v>
      </c>
      <c r="F19" s="21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19" type="list">
      <formula1>"Not Started,Reading,Learned,Needs Review"</formula1>
      <formula2>0</formula2>
    </dataValidation>
  </dataValidations>
  <hyperlinks>
    <hyperlink ref="D3" r:id="rId1" display="Open"/>
    <hyperlink ref="D4" r:id="rId2" location="appendix" display="Open"/>
    <hyperlink ref="D5" r:id="rId3" display="Open"/>
    <hyperlink ref="D6" r:id="rId4" location="load-balancer" display="Open"/>
    <hyperlink ref="D7" r:id="rId5" location="cache" display="Open"/>
    <hyperlink ref="D8" r:id="rId6" location="database" display="Open"/>
    <hyperlink ref="D9" r:id="rId7" display="Open"/>
    <hyperlink ref="D10" r:id="rId8" location="consistency-patterns" display="Open"/>
    <hyperlink ref="D11" r:id="rId9" display="Open"/>
    <hyperlink ref="D12" r:id="rId10" display="Open"/>
    <hyperlink ref="D13" r:id="rId11" display="Open"/>
    <hyperlink ref="D14" r:id="rId12" location="content-delivery-network" display="Open"/>
    <hyperlink ref="D15" r:id="rId13" location="asynchronism" display="Open"/>
    <hyperlink ref="D16" r:id="rId14" display="Open"/>
    <hyperlink ref="D17" r:id="rId15" display="Open"/>
    <hyperlink ref="D18" r:id="rId16" display="Open"/>
    <hyperlink ref="D19" r:id="rId17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7"/>
    <col collapsed="false" customWidth="true" hidden="false" outlineLevel="0" max="3" min="3" style="0" width="50"/>
    <col collapsed="false" customWidth="true" hidden="false" outlineLevel="0" max="4" min="4" style="0" width="15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8" t="s">
        <v>470</v>
      </c>
      <c r="B1" s="8"/>
      <c r="C1" s="8"/>
      <c r="D1" s="8"/>
      <c r="E1" s="8"/>
    </row>
    <row r="2" customFormat="false" ht="27.75" hidden="false" customHeight="true" outlineLevel="0" collapsed="false">
      <c r="A2" s="9" t="s">
        <v>471</v>
      </c>
      <c r="B2" s="9" t="s">
        <v>31</v>
      </c>
      <c r="C2" s="9" t="s">
        <v>472</v>
      </c>
      <c r="D2" s="9" t="s">
        <v>34</v>
      </c>
      <c r="E2" s="9" t="s">
        <v>38</v>
      </c>
    </row>
    <row r="3" customFormat="false" ht="33.75" hidden="false" customHeight="true" outlineLevel="0" collapsed="false">
      <c r="A3" s="24" t="s">
        <v>473</v>
      </c>
      <c r="B3" s="12" t="n">
        <v>1</v>
      </c>
      <c r="C3" s="15" t="s">
        <v>474</v>
      </c>
      <c r="D3" s="14" t="s">
        <v>44</v>
      </c>
      <c r="E3" s="15"/>
    </row>
    <row r="4" customFormat="false" ht="33.75" hidden="false" customHeight="true" outlineLevel="0" collapsed="false">
      <c r="A4" s="25" t="s">
        <v>475</v>
      </c>
      <c r="B4" s="12" t="n">
        <v>1</v>
      </c>
      <c r="C4" s="3" t="s">
        <v>476</v>
      </c>
      <c r="D4" s="10" t="s">
        <v>44</v>
      </c>
      <c r="E4" s="3"/>
    </row>
    <row r="5" customFormat="false" ht="33.75" hidden="false" customHeight="true" outlineLevel="0" collapsed="false">
      <c r="A5" s="24" t="s">
        <v>477</v>
      </c>
      <c r="B5" s="12" t="n">
        <v>1</v>
      </c>
      <c r="C5" s="15" t="s">
        <v>478</v>
      </c>
      <c r="D5" s="14" t="s">
        <v>44</v>
      </c>
      <c r="E5" s="15"/>
    </row>
    <row r="6" customFormat="false" ht="33.75" hidden="false" customHeight="true" outlineLevel="0" collapsed="false">
      <c r="A6" s="25" t="s">
        <v>479</v>
      </c>
      <c r="B6" s="12" t="n">
        <v>1</v>
      </c>
      <c r="C6" s="3" t="s">
        <v>480</v>
      </c>
      <c r="D6" s="10" t="s">
        <v>44</v>
      </c>
      <c r="E6" s="3"/>
    </row>
    <row r="7" customFormat="false" ht="33.75" hidden="false" customHeight="true" outlineLevel="0" collapsed="false">
      <c r="A7" s="24" t="s">
        <v>481</v>
      </c>
      <c r="B7" s="17" t="n">
        <v>2</v>
      </c>
      <c r="C7" s="15" t="s">
        <v>482</v>
      </c>
      <c r="D7" s="14" t="s">
        <v>44</v>
      </c>
      <c r="E7" s="15"/>
    </row>
    <row r="8" customFormat="false" ht="33.75" hidden="false" customHeight="true" outlineLevel="0" collapsed="false">
      <c r="A8" s="25" t="s">
        <v>483</v>
      </c>
      <c r="B8" s="17" t="n">
        <v>2</v>
      </c>
      <c r="C8" s="3" t="s">
        <v>484</v>
      </c>
      <c r="D8" s="10" t="s">
        <v>44</v>
      </c>
      <c r="E8" s="3"/>
    </row>
    <row r="9" customFormat="false" ht="33.75" hidden="false" customHeight="true" outlineLevel="0" collapsed="false">
      <c r="A9" s="24" t="s">
        <v>485</v>
      </c>
      <c r="B9" s="17" t="n">
        <v>2</v>
      </c>
      <c r="C9" s="15" t="s">
        <v>486</v>
      </c>
      <c r="D9" s="14" t="s">
        <v>44</v>
      </c>
      <c r="E9" s="15"/>
    </row>
    <row r="10" customFormat="false" ht="33.75" hidden="false" customHeight="true" outlineLevel="0" collapsed="false">
      <c r="A10" s="25" t="s">
        <v>487</v>
      </c>
      <c r="B10" s="17" t="n">
        <v>2</v>
      </c>
      <c r="C10" s="3" t="s">
        <v>488</v>
      </c>
      <c r="D10" s="10" t="s">
        <v>44</v>
      </c>
      <c r="E10" s="3"/>
    </row>
    <row r="11" customFormat="false" ht="33.75" hidden="false" customHeight="true" outlineLevel="0" collapsed="false">
      <c r="A11" s="24" t="s">
        <v>489</v>
      </c>
      <c r="B11" s="17" t="n">
        <v>2</v>
      </c>
      <c r="C11" s="15" t="s">
        <v>490</v>
      </c>
      <c r="D11" s="14" t="s">
        <v>44</v>
      </c>
      <c r="E11" s="15"/>
    </row>
    <row r="12" customFormat="false" ht="33.75" hidden="false" customHeight="true" outlineLevel="0" collapsed="false">
      <c r="A12" s="25" t="s">
        <v>491</v>
      </c>
      <c r="B12" s="17" t="n">
        <v>2</v>
      </c>
      <c r="C12" s="3" t="s">
        <v>492</v>
      </c>
      <c r="D12" s="10" t="s">
        <v>44</v>
      </c>
      <c r="E12" s="3"/>
    </row>
    <row r="13" customFormat="false" ht="33.75" hidden="false" customHeight="true" outlineLevel="0" collapsed="false">
      <c r="A13" s="24" t="s">
        <v>493</v>
      </c>
      <c r="B13" s="17" t="n">
        <v>2</v>
      </c>
      <c r="C13" s="15" t="s">
        <v>494</v>
      </c>
      <c r="D13" s="14" t="s">
        <v>44</v>
      </c>
      <c r="E13" s="15"/>
    </row>
    <row r="14" customFormat="false" ht="33.75" hidden="false" customHeight="true" outlineLevel="0" collapsed="false">
      <c r="A14" s="25" t="s">
        <v>495</v>
      </c>
      <c r="B14" s="19" t="n">
        <v>3</v>
      </c>
      <c r="C14" s="3" t="s">
        <v>496</v>
      </c>
      <c r="D14" s="10" t="s">
        <v>44</v>
      </c>
      <c r="E14" s="3"/>
    </row>
    <row r="15" customFormat="false" ht="33.75" hidden="false" customHeight="true" outlineLevel="0" collapsed="false">
      <c r="A15" s="24" t="s">
        <v>497</v>
      </c>
      <c r="B15" s="19" t="n">
        <v>3</v>
      </c>
      <c r="C15" s="15" t="s">
        <v>498</v>
      </c>
      <c r="D15" s="14" t="s">
        <v>44</v>
      </c>
      <c r="E15" s="15"/>
    </row>
    <row r="16" customFormat="false" ht="33.75" hidden="false" customHeight="true" outlineLevel="0" collapsed="false">
      <c r="A16" s="25" t="s">
        <v>499</v>
      </c>
      <c r="B16" s="19" t="n">
        <v>3</v>
      </c>
      <c r="C16" s="3" t="s">
        <v>500</v>
      </c>
      <c r="D16" s="10" t="s">
        <v>44</v>
      </c>
      <c r="E16" s="3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D3:D16" type="list">
      <formula1>"Not Started,Attempted,Confident,Needs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8" t="s">
        <v>501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9" t="s">
        <v>502</v>
      </c>
      <c r="B2" s="9" t="s">
        <v>414</v>
      </c>
      <c r="C2" s="9" t="s">
        <v>503</v>
      </c>
      <c r="D2" s="9" t="s">
        <v>416</v>
      </c>
      <c r="E2" s="9" t="s">
        <v>417</v>
      </c>
      <c r="F2" s="9" t="s">
        <v>34</v>
      </c>
    </row>
    <row r="3" customFormat="false" ht="39.75" hidden="false" customHeight="true" outlineLevel="0" collapsed="false">
      <c r="A3" s="20" t="s">
        <v>504</v>
      </c>
      <c r="B3" s="25" t="s">
        <v>505</v>
      </c>
      <c r="C3" s="3" t="s">
        <v>506</v>
      </c>
      <c r="D3" s="3" t="s">
        <v>507</v>
      </c>
      <c r="E3" s="13" t="s">
        <v>421</v>
      </c>
      <c r="F3" s="10" t="s">
        <v>44</v>
      </c>
    </row>
    <row r="4" customFormat="false" ht="39.75" hidden="false" customHeight="true" outlineLevel="0" collapsed="false">
      <c r="A4" s="20" t="s">
        <v>504</v>
      </c>
      <c r="B4" s="25" t="s">
        <v>508</v>
      </c>
      <c r="C4" s="3" t="s">
        <v>509</v>
      </c>
      <c r="D4" s="3" t="s">
        <v>510</v>
      </c>
      <c r="E4" s="13" t="s">
        <v>421</v>
      </c>
      <c r="F4" s="10" t="s">
        <v>44</v>
      </c>
    </row>
    <row r="5" customFormat="false" ht="39.75" hidden="false" customHeight="true" outlineLevel="0" collapsed="false">
      <c r="A5" s="20" t="s">
        <v>504</v>
      </c>
      <c r="B5" s="25" t="s">
        <v>511</v>
      </c>
      <c r="C5" s="3" t="s">
        <v>512</v>
      </c>
      <c r="D5" s="3" t="s">
        <v>513</v>
      </c>
      <c r="E5" s="13" t="s">
        <v>421</v>
      </c>
      <c r="F5" s="10" t="s">
        <v>44</v>
      </c>
    </row>
    <row r="6" customFormat="false" ht="39.75" hidden="false" customHeight="true" outlineLevel="0" collapsed="false">
      <c r="A6" s="20" t="s">
        <v>504</v>
      </c>
      <c r="B6" s="25" t="s">
        <v>514</v>
      </c>
      <c r="C6" s="3" t="s">
        <v>515</v>
      </c>
      <c r="D6" s="3" t="s">
        <v>516</v>
      </c>
      <c r="E6" s="13" t="s">
        <v>421</v>
      </c>
      <c r="F6" s="10" t="s">
        <v>44</v>
      </c>
    </row>
    <row r="7" customFormat="false" ht="39.75" hidden="false" customHeight="true" outlineLevel="0" collapsed="false">
      <c r="A7" s="20" t="s">
        <v>504</v>
      </c>
      <c r="B7" s="25" t="s">
        <v>517</v>
      </c>
      <c r="C7" s="3" t="s">
        <v>518</v>
      </c>
      <c r="D7" s="3" t="s">
        <v>519</v>
      </c>
      <c r="E7" s="13" t="s">
        <v>421</v>
      </c>
      <c r="F7" s="10" t="s">
        <v>44</v>
      </c>
    </row>
    <row r="8" customFormat="false" ht="39.75" hidden="false" customHeight="true" outlineLevel="0" collapsed="false">
      <c r="A8" s="26" t="s">
        <v>520</v>
      </c>
      <c r="B8" s="25" t="s">
        <v>521</v>
      </c>
      <c r="C8" s="3" t="s">
        <v>522</v>
      </c>
      <c r="D8" s="3" t="s">
        <v>523</v>
      </c>
      <c r="E8" s="13" t="s">
        <v>421</v>
      </c>
      <c r="F8" s="10" t="s">
        <v>44</v>
      </c>
    </row>
    <row r="9" customFormat="false" ht="39.75" hidden="false" customHeight="true" outlineLevel="0" collapsed="false">
      <c r="A9" s="26" t="s">
        <v>520</v>
      </c>
      <c r="B9" s="25" t="s">
        <v>524</v>
      </c>
      <c r="C9" s="3" t="s">
        <v>525</v>
      </c>
      <c r="D9" s="3" t="s">
        <v>526</v>
      </c>
      <c r="E9" s="13" t="s">
        <v>421</v>
      </c>
      <c r="F9" s="10" t="s">
        <v>44</v>
      </c>
    </row>
    <row r="10" customFormat="false" ht="39.75" hidden="false" customHeight="true" outlineLevel="0" collapsed="false">
      <c r="A10" s="26" t="s">
        <v>520</v>
      </c>
      <c r="B10" s="25" t="s">
        <v>527</v>
      </c>
      <c r="C10" s="3" t="s">
        <v>528</v>
      </c>
      <c r="D10" s="3" t="s">
        <v>529</v>
      </c>
      <c r="E10" s="13" t="s">
        <v>421</v>
      </c>
      <c r="F10" s="10" t="s">
        <v>44</v>
      </c>
    </row>
    <row r="11" customFormat="false" ht="39.75" hidden="false" customHeight="true" outlineLevel="0" collapsed="false">
      <c r="A11" s="26" t="s">
        <v>520</v>
      </c>
      <c r="B11" s="25" t="s">
        <v>530</v>
      </c>
      <c r="C11" s="3" t="s">
        <v>531</v>
      </c>
      <c r="D11" s="3" t="s">
        <v>532</v>
      </c>
      <c r="E11" s="13" t="s">
        <v>421</v>
      </c>
      <c r="F11" s="10" t="s">
        <v>44</v>
      </c>
    </row>
    <row r="12" customFormat="false" ht="39.75" hidden="false" customHeight="true" outlineLevel="0" collapsed="false">
      <c r="A12" s="26" t="s">
        <v>520</v>
      </c>
      <c r="B12" s="25" t="s">
        <v>533</v>
      </c>
      <c r="C12" s="3" t="s">
        <v>534</v>
      </c>
      <c r="D12" s="3" t="s">
        <v>535</v>
      </c>
      <c r="E12" s="13" t="s">
        <v>421</v>
      </c>
      <c r="F12" s="10" t="s">
        <v>44</v>
      </c>
    </row>
    <row r="13" customFormat="false" ht="39.75" hidden="false" customHeight="true" outlineLevel="0" collapsed="false">
      <c r="A13" s="27" t="s">
        <v>536</v>
      </c>
      <c r="B13" s="25" t="s">
        <v>537</v>
      </c>
      <c r="C13" s="3" t="s">
        <v>538</v>
      </c>
      <c r="D13" s="3" t="s">
        <v>539</v>
      </c>
      <c r="E13" s="13" t="s">
        <v>421</v>
      </c>
      <c r="F13" s="10" t="s">
        <v>44</v>
      </c>
    </row>
    <row r="14" customFormat="false" ht="39.75" hidden="false" customHeight="true" outlineLevel="0" collapsed="false">
      <c r="A14" s="27" t="s">
        <v>536</v>
      </c>
      <c r="B14" s="25" t="s">
        <v>540</v>
      </c>
      <c r="C14" s="3" t="s">
        <v>541</v>
      </c>
      <c r="D14" s="3" t="s">
        <v>542</v>
      </c>
      <c r="E14" s="13" t="s">
        <v>421</v>
      </c>
      <c r="F14" s="10" t="s">
        <v>44</v>
      </c>
    </row>
    <row r="15" customFormat="false" ht="39.75" hidden="false" customHeight="true" outlineLevel="0" collapsed="false">
      <c r="A15" s="27" t="s">
        <v>536</v>
      </c>
      <c r="B15" s="25" t="s">
        <v>543</v>
      </c>
      <c r="C15" s="3" t="s">
        <v>544</v>
      </c>
      <c r="D15" s="3" t="s">
        <v>545</v>
      </c>
      <c r="E15" s="13" t="s">
        <v>421</v>
      </c>
      <c r="F15" s="10" t="s">
        <v>44</v>
      </c>
    </row>
    <row r="16" customFormat="false" ht="39.75" hidden="false" customHeight="true" outlineLevel="0" collapsed="false">
      <c r="A16" s="27" t="s">
        <v>536</v>
      </c>
      <c r="B16" s="25" t="s">
        <v>546</v>
      </c>
      <c r="C16" s="3" t="s">
        <v>547</v>
      </c>
      <c r="D16" s="3" t="s">
        <v>548</v>
      </c>
      <c r="E16" s="13" t="s">
        <v>421</v>
      </c>
      <c r="F16" s="10" t="s">
        <v>44</v>
      </c>
    </row>
    <row r="17" customFormat="false" ht="39.75" hidden="false" customHeight="true" outlineLevel="0" collapsed="false">
      <c r="A17" s="27" t="s">
        <v>536</v>
      </c>
      <c r="B17" s="25" t="s">
        <v>549</v>
      </c>
      <c r="C17" s="3" t="s">
        <v>550</v>
      </c>
      <c r="D17" s="3" t="s">
        <v>551</v>
      </c>
      <c r="E17" s="13" t="s">
        <v>421</v>
      </c>
      <c r="F17" s="10" t="s">
        <v>44</v>
      </c>
    </row>
    <row r="18" customFormat="false" ht="39.75" hidden="false" customHeight="true" outlineLevel="0" collapsed="false">
      <c r="A18" s="28" t="s">
        <v>552</v>
      </c>
      <c r="B18" s="25" t="s">
        <v>553</v>
      </c>
      <c r="C18" s="3" t="s">
        <v>554</v>
      </c>
      <c r="D18" s="3" t="s">
        <v>555</v>
      </c>
      <c r="E18" s="13" t="s">
        <v>421</v>
      </c>
      <c r="F18" s="10" t="s">
        <v>44</v>
      </c>
    </row>
    <row r="19" customFormat="false" ht="39.75" hidden="false" customHeight="true" outlineLevel="0" collapsed="false">
      <c r="A19" s="28" t="s">
        <v>552</v>
      </c>
      <c r="B19" s="25" t="s">
        <v>556</v>
      </c>
      <c r="C19" s="3" t="s">
        <v>557</v>
      </c>
      <c r="D19" s="3" t="s">
        <v>555</v>
      </c>
      <c r="E19" s="13" t="s">
        <v>421</v>
      </c>
      <c r="F19" s="10" t="s">
        <v>44</v>
      </c>
    </row>
    <row r="20" customFormat="false" ht="39.75" hidden="false" customHeight="true" outlineLevel="0" collapsed="false">
      <c r="A20" s="28" t="s">
        <v>552</v>
      </c>
      <c r="B20" s="25" t="s">
        <v>558</v>
      </c>
      <c r="C20" s="3" t="s">
        <v>559</v>
      </c>
      <c r="D20" s="3" t="s">
        <v>560</v>
      </c>
      <c r="E20" s="13" t="s">
        <v>421</v>
      </c>
      <c r="F20" s="10" t="s">
        <v>44</v>
      </c>
    </row>
    <row r="21" customFormat="false" ht="39.75" hidden="false" customHeight="true" outlineLevel="0" collapsed="false">
      <c r="A21" s="2" t="s">
        <v>561</v>
      </c>
      <c r="B21" s="25" t="s">
        <v>562</v>
      </c>
      <c r="C21" s="3" t="s">
        <v>563</v>
      </c>
      <c r="D21" s="3" t="s">
        <v>564</v>
      </c>
      <c r="E21" s="13" t="s">
        <v>421</v>
      </c>
      <c r="F21" s="10" t="s">
        <v>44</v>
      </c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F3:F21" type="list">
      <formula1>"Not Started,Reading,Learned,Needs Review"</formula1>
      <formula2>0</formula2>
    </dataValidation>
  </dataValidations>
  <hyperlinks>
    <hyperlink ref="E3" r:id="rId1" display="Open"/>
    <hyperlink ref="E4" r:id="rId2" display="Open"/>
    <hyperlink ref="E5" r:id="rId3" display="Open"/>
    <hyperlink ref="E6" r:id="rId4" display="Open"/>
    <hyperlink ref="E7" r:id="rId5" display="Open"/>
    <hyperlink ref="E8" r:id="rId6" display="Open"/>
    <hyperlink ref="E9" r:id="rId7" display="Open"/>
    <hyperlink ref="E10" r:id="rId8" display="Open"/>
    <hyperlink ref="E11" r:id="rId9" display="Open"/>
    <hyperlink ref="E12" r:id="rId10" display="Open"/>
    <hyperlink ref="E13" r:id="rId11" display="Open"/>
    <hyperlink ref="E14" r:id="rId12" display="Open"/>
    <hyperlink ref="E15" r:id="rId13" display="Open"/>
    <hyperlink ref="E16" r:id="rId14" display="Open"/>
    <hyperlink ref="E17" r:id="rId15" display="Open"/>
    <hyperlink ref="E18" r:id="rId16" display="Open"/>
    <hyperlink ref="E19" r:id="rId17" display="Open"/>
    <hyperlink ref="E20" r:id="rId18" display="Open"/>
    <hyperlink ref="E21" r:id="rId19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50"/>
    <col collapsed="false" customWidth="true" hidden="false" outlineLevel="0" max="3" min="3" style="0" width="26"/>
    <col collapsed="false" customWidth="true" hidden="false" outlineLevel="0" max="5" min="4" style="0" width="14"/>
  </cols>
  <sheetData>
    <row r="1" customFormat="false" ht="25.5" hidden="false" customHeight="true" outlineLevel="0" collapsed="false">
      <c r="A1" s="8" t="s">
        <v>565</v>
      </c>
      <c r="B1" s="8"/>
      <c r="C1" s="8"/>
      <c r="D1" s="8"/>
      <c r="E1" s="8"/>
    </row>
    <row r="2" customFormat="false" ht="27.75" hidden="false" customHeight="true" outlineLevel="0" collapsed="false">
      <c r="A2" s="9" t="s">
        <v>414</v>
      </c>
      <c r="B2" s="9" t="s">
        <v>503</v>
      </c>
      <c r="C2" s="9" t="s">
        <v>416</v>
      </c>
      <c r="D2" s="9" t="s">
        <v>417</v>
      </c>
      <c r="E2" s="9" t="s">
        <v>34</v>
      </c>
    </row>
    <row r="3" customFormat="false" ht="37.5" hidden="false" customHeight="true" outlineLevel="0" collapsed="false">
      <c r="A3" s="20" t="s">
        <v>566</v>
      </c>
      <c r="B3" s="21" t="s">
        <v>567</v>
      </c>
      <c r="C3" s="21" t="s">
        <v>568</v>
      </c>
      <c r="D3" s="22" t="s">
        <v>421</v>
      </c>
      <c r="E3" s="23" t="s">
        <v>44</v>
      </c>
    </row>
    <row r="4" customFormat="false" ht="37.5" hidden="false" customHeight="true" outlineLevel="0" collapsed="false">
      <c r="A4" s="4" t="s">
        <v>569</v>
      </c>
      <c r="B4" s="3" t="s">
        <v>570</v>
      </c>
      <c r="C4" s="3" t="s">
        <v>571</v>
      </c>
      <c r="D4" s="13" t="s">
        <v>421</v>
      </c>
      <c r="E4" s="10" t="s">
        <v>44</v>
      </c>
    </row>
    <row r="5" customFormat="false" ht="37.5" hidden="false" customHeight="true" outlineLevel="0" collapsed="false">
      <c r="A5" s="20" t="s">
        <v>572</v>
      </c>
      <c r="B5" s="21" t="s">
        <v>573</v>
      </c>
      <c r="C5" s="21" t="s">
        <v>568</v>
      </c>
      <c r="D5" s="22" t="s">
        <v>421</v>
      </c>
      <c r="E5" s="23" t="s">
        <v>44</v>
      </c>
    </row>
    <row r="6" customFormat="false" ht="37.5" hidden="false" customHeight="true" outlineLevel="0" collapsed="false">
      <c r="A6" s="4" t="s">
        <v>574</v>
      </c>
      <c r="B6" s="3" t="s">
        <v>575</v>
      </c>
      <c r="C6" s="3" t="s">
        <v>568</v>
      </c>
      <c r="D6" s="13" t="s">
        <v>421</v>
      </c>
      <c r="E6" s="10" t="s">
        <v>44</v>
      </c>
    </row>
    <row r="7" customFormat="false" ht="37.5" hidden="false" customHeight="true" outlineLevel="0" collapsed="false">
      <c r="A7" s="20" t="s">
        <v>576</v>
      </c>
      <c r="B7" s="21" t="s">
        <v>577</v>
      </c>
      <c r="C7" s="21" t="s">
        <v>568</v>
      </c>
      <c r="D7" s="22" t="s">
        <v>421</v>
      </c>
      <c r="E7" s="23" t="s">
        <v>44</v>
      </c>
    </row>
    <row r="8" customFormat="false" ht="37.5" hidden="false" customHeight="true" outlineLevel="0" collapsed="false">
      <c r="A8" s="4" t="s">
        <v>578</v>
      </c>
      <c r="B8" s="3" t="s">
        <v>579</v>
      </c>
      <c r="C8" s="3" t="s">
        <v>580</v>
      </c>
      <c r="D8" s="13" t="s">
        <v>421</v>
      </c>
      <c r="E8" s="10" t="s">
        <v>44</v>
      </c>
    </row>
    <row r="9" customFormat="false" ht="37.5" hidden="false" customHeight="true" outlineLevel="0" collapsed="false">
      <c r="A9" s="20" t="s">
        <v>581</v>
      </c>
      <c r="B9" s="21" t="s">
        <v>582</v>
      </c>
      <c r="C9" s="21" t="s">
        <v>580</v>
      </c>
      <c r="D9" s="22" t="s">
        <v>421</v>
      </c>
      <c r="E9" s="23" t="s">
        <v>44</v>
      </c>
    </row>
    <row r="10" customFormat="false" ht="37.5" hidden="false" customHeight="true" outlineLevel="0" collapsed="false">
      <c r="A10" s="4" t="s">
        <v>583</v>
      </c>
      <c r="B10" s="3" t="s">
        <v>584</v>
      </c>
      <c r="C10" s="3" t="s">
        <v>580</v>
      </c>
      <c r="D10" s="13" t="s">
        <v>421</v>
      </c>
      <c r="E10" s="10" t="s">
        <v>44</v>
      </c>
    </row>
    <row r="11" customFormat="false" ht="37.5" hidden="false" customHeight="true" outlineLevel="0" collapsed="false">
      <c r="A11" s="20" t="s">
        <v>585</v>
      </c>
      <c r="B11" s="21" t="s">
        <v>586</v>
      </c>
      <c r="C11" s="21" t="s">
        <v>580</v>
      </c>
      <c r="D11" s="22" t="s">
        <v>421</v>
      </c>
      <c r="E11" s="23" t="s">
        <v>44</v>
      </c>
    </row>
    <row r="12" customFormat="false" ht="37.5" hidden="false" customHeight="true" outlineLevel="0" collapsed="false">
      <c r="A12" s="4" t="s">
        <v>587</v>
      </c>
      <c r="B12" s="3" t="s">
        <v>588</v>
      </c>
      <c r="C12" s="3" t="s">
        <v>568</v>
      </c>
      <c r="D12" s="13" t="s">
        <v>421</v>
      </c>
      <c r="E12" s="10" t="s">
        <v>44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3:E12" type="list">
      <formula1>"Not Started,Reading,Learned,Needs Review"</formula1>
      <formula2>0</formula2>
    </dataValidation>
  </dataValidations>
  <hyperlinks>
    <hyperlink ref="D3" r:id="rId1" display="Open"/>
    <hyperlink ref="D4" r:id="rId2" display="Open"/>
    <hyperlink ref="D5" r:id="rId3" display="Open"/>
    <hyperlink ref="D6" r:id="rId4" display="Open"/>
    <hyperlink ref="D7" r:id="rId5" display="Open"/>
    <hyperlink ref="D8" r:id="rId6" display="Open"/>
    <hyperlink ref="D9" r:id="rId7" display="Open"/>
    <hyperlink ref="D10" r:id="rId8" display="Open"/>
    <hyperlink ref="D11" r:id="rId9" display="Open"/>
    <hyperlink ref="D12" r:id="rId1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25.5" hidden="false" customHeight="true" outlineLevel="0" collapsed="false">
      <c r="A1" s="8" t="s">
        <v>589</v>
      </c>
      <c r="B1" s="8"/>
      <c r="C1" s="8"/>
      <c r="D1" s="8"/>
      <c r="E1" s="8"/>
      <c r="F1" s="8"/>
    </row>
    <row r="2" customFormat="false" ht="27.75" hidden="false" customHeight="true" outlineLevel="0" collapsed="false">
      <c r="A2" s="9" t="s">
        <v>590</v>
      </c>
      <c r="B2" s="9" t="s">
        <v>591</v>
      </c>
      <c r="C2" s="9" t="s">
        <v>592</v>
      </c>
      <c r="D2" s="9" t="s">
        <v>593</v>
      </c>
      <c r="E2" s="9" t="s">
        <v>417</v>
      </c>
      <c r="F2" s="9" t="s">
        <v>594</v>
      </c>
    </row>
    <row r="3" customFormat="false" ht="42" hidden="false" customHeight="true" outlineLevel="0" collapsed="false">
      <c r="A3" s="26" t="s">
        <v>595</v>
      </c>
      <c r="B3" s="29" t="s">
        <v>596</v>
      </c>
      <c r="C3" s="29" t="s">
        <v>597</v>
      </c>
      <c r="D3" s="29" t="s">
        <v>598</v>
      </c>
      <c r="E3" s="30" t="s">
        <v>421</v>
      </c>
      <c r="F3" s="29"/>
    </row>
    <row r="4" customFormat="false" ht="42" hidden="false" customHeight="true" outlineLevel="0" collapsed="false">
      <c r="A4" s="4" t="s">
        <v>599</v>
      </c>
      <c r="B4" s="3" t="s">
        <v>600</v>
      </c>
      <c r="C4" s="3" t="s">
        <v>601</v>
      </c>
      <c r="D4" s="3" t="s">
        <v>602</v>
      </c>
      <c r="E4" s="13" t="s">
        <v>421</v>
      </c>
      <c r="F4" s="3"/>
    </row>
    <row r="5" customFormat="false" ht="42" hidden="false" customHeight="true" outlineLevel="0" collapsed="false">
      <c r="A5" s="26" t="s">
        <v>603</v>
      </c>
      <c r="B5" s="29" t="s">
        <v>604</v>
      </c>
      <c r="C5" s="29" t="s">
        <v>605</v>
      </c>
      <c r="D5" s="29" t="s">
        <v>606</v>
      </c>
      <c r="E5" s="5" t="s">
        <v>606</v>
      </c>
      <c r="F5" s="29"/>
    </row>
    <row r="6" customFormat="false" ht="42" hidden="false" customHeight="true" outlineLevel="0" collapsed="false">
      <c r="A6" s="4" t="s">
        <v>607</v>
      </c>
      <c r="B6" s="3" t="s">
        <v>608</v>
      </c>
      <c r="C6" s="3" t="s">
        <v>609</v>
      </c>
      <c r="D6" s="3" t="s">
        <v>606</v>
      </c>
      <c r="E6" s="10" t="s">
        <v>606</v>
      </c>
      <c r="F6" s="3"/>
    </row>
    <row r="7" customFormat="false" ht="42" hidden="false" customHeight="true" outlineLevel="0" collapsed="false">
      <c r="A7" s="26" t="s">
        <v>610</v>
      </c>
      <c r="B7" s="29" t="s">
        <v>611</v>
      </c>
      <c r="C7" s="29" t="s">
        <v>612</v>
      </c>
      <c r="D7" s="29" t="s">
        <v>606</v>
      </c>
      <c r="E7" s="5" t="s">
        <v>606</v>
      </c>
      <c r="F7" s="29"/>
    </row>
    <row r="8" customFormat="false" ht="42" hidden="false" customHeight="true" outlineLevel="0" collapsed="false">
      <c r="A8" s="4" t="s">
        <v>613</v>
      </c>
      <c r="B8" s="3" t="s">
        <v>614</v>
      </c>
      <c r="C8" s="3" t="s">
        <v>615</v>
      </c>
      <c r="D8" s="3" t="s">
        <v>606</v>
      </c>
      <c r="E8" s="10" t="s">
        <v>606</v>
      </c>
      <c r="F8" s="3"/>
    </row>
    <row r="9" customFormat="false" ht="42" hidden="false" customHeight="true" outlineLevel="0" collapsed="false">
      <c r="A9" s="26" t="s">
        <v>616</v>
      </c>
      <c r="B9" s="29" t="s">
        <v>617</v>
      </c>
      <c r="C9" s="29" t="s">
        <v>618</v>
      </c>
      <c r="D9" s="29" t="s">
        <v>606</v>
      </c>
      <c r="E9" s="5" t="s">
        <v>606</v>
      </c>
      <c r="F9" s="29"/>
    </row>
    <row r="10" customFormat="false" ht="42" hidden="false" customHeight="true" outlineLevel="0" collapsed="false">
      <c r="A10" s="4" t="s">
        <v>619</v>
      </c>
      <c r="B10" s="3" t="s">
        <v>620</v>
      </c>
      <c r="C10" s="3" t="s">
        <v>621</v>
      </c>
      <c r="D10" s="3" t="s">
        <v>606</v>
      </c>
      <c r="E10" s="10" t="s">
        <v>606</v>
      </c>
      <c r="F10" s="3"/>
    </row>
  </sheetData>
  <mergeCells count="1">
    <mergeCell ref="A1:F1"/>
  </mergeCells>
  <hyperlinks>
    <hyperlink ref="E3" r:id="rId1" display="Open"/>
    <hyperlink ref="E4" r:id="rId2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25.5" hidden="false" customHeight="true" outlineLevel="0" collapsed="false">
      <c r="A1" s="8" t="s">
        <v>622</v>
      </c>
      <c r="B1" s="8"/>
      <c r="C1" s="8"/>
      <c r="D1" s="8"/>
      <c r="E1" s="8"/>
    </row>
    <row r="2" customFormat="false" ht="27.75" hidden="false" customHeight="true" outlineLevel="0" collapsed="false">
      <c r="A2" s="9" t="s">
        <v>28</v>
      </c>
      <c r="B2" s="9" t="s">
        <v>593</v>
      </c>
      <c r="C2" s="9" t="s">
        <v>623</v>
      </c>
      <c r="D2" s="9" t="s">
        <v>624</v>
      </c>
      <c r="E2" s="9" t="s">
        <v>417</v>
      </c>
    </row>
    <row r="3" customFormat="false" ht="25.5" hidden="false" customHeight="true" outlineLevel="0" collapsed="false">
      <c r="A3" s="2" t="s">
        <v>625</v>
      </c>
      <c r="B3" s="15" t="s">
        <v>626</v>
      </c>
      <c r="C3" s="14" t="s">
        <v>627</v>
      </c>
      <c r="D3" s="5" t="s">
        <v>628</v>
      </c>
      <c r="E3" s="31" t="s">
        <v>421</v>
      </c>
    </row>
    <row r="4" customFormat="false" ht="25.5" hidden="false" customHeight="true" outlineLevel="0" collapsed="false">
      <c r="A4" s="4" t="s">
        <v>625</v>
      </c>
      <c r="B4" s="3" t="s">
        <v>629</v>
      </c>
      <c r="C4" s="10" t="s">
        <v>630</v>
      </c>
      <c r="D4" s="5" t="s">
        <v>628</v>
      </c>
      <c r="E4" s="13" t="s">
        <v>421</v>
      </c>
    </row>
    <row r="5" customFormat="false" ht="25.5" hidden="false" customHeight="true" outlineLevel="0" collapsed="false">
      <c r="A5" s="2" t="s">
        <v>625</v>
      </c>
      <c r="B5" s="15" t="s">
        <v>631</v>
      </c>
      <c r="C5" s="14" t="s">
        <v>632</v>
      </c>
      <c r="D5" s="6" t="s">
        <v>633</v>
      </c>
      <c r="E5" s="31" t="s">
        <v>421</v>
      </c>
    </row>
    <row r="6" customFormat="false" ht="25.5" hidden="false" customHeight="true" outlineLevel="0" collapsed="false">
      <c r="A6" s="4" t="s">
        <v>625</v>
      </c>
      <c r="B6" s="3" t="s">
        <v>564</v>
      </c>
      <c r="C6" s="10" t="s">
        <v>634</v>
      </c>
      <c r="D6" s="5" t="s">
        <v>628</v>
      </c>
      <c r="E6" s="13" t="s">
        <v>421</v>
      </c>
    </row>
    <row r="7" customFormat="false" ht="25.5" hidden="false" customHeight="true" outlineLevel="0" collapsed="false">
      <c r="A7" s="2" t="s">
        <v>625</v>
      </c>
      <c r="B7" s="15" t="s">
        <v>635</v>
      </c>
      <c r="C7" s="14" t="s">
        <v>634</v>
      </c>
      <c r="D7" s="6" t="s">
        <v>636</v>
      </c>
      <c r="E7" s="31" t="s">
        <v>421</v>
      </c>
    </row>
    <row r="8" customFormat="false" ht="25.5" hidden="false" customHeight="true" outlineLevel="0" collapsed="false">
      <c r="A8" s="4" t="s">
        <v>625</v>
      </c>
      <c r="B8" s="3" t="s">
        <v>637</v>
      </c>
      <c r="C8" s="10" t="s">
        <v>638</v>
      </c>
      <c r="D8" s="5" t="s">
        <v>628</v>
      </c>
      <c r="E8" s="13" t="s">
        <v>421</v>
      </c>
    </row>
    <row r="9" customFormat="false" ht="25.5" hidden="false" customHeight="true" outlineLevel="0" collapsed="false">
      <c r="A9" s="2" t="s">
        <v>625</v>
      </c>
      <c r="B9" s="15" t="s">
        <v>639</v>
      </c>
      <c r="C9" s="14" t="s">
        <v>640</v>
      </c>
      <c r="D9" s="6" t="s">
        <v>641</v>
      </c>
      <c r="E9" s="31" t="s">
        <v>421</v>
      </c>
    </row>
    <row r="10" customFormat="false" ht="25.5" hidden="false" customHeight="true" outlineLevel="0" collapsed="false">
      <c r="A10" s="4" t="s">
        <v>642</v>
      </c>
      <c r="B10" s="3" t="s">
        <v>427</v>
      </c>
      <c r="C10" s="10" t="s">
        <v>643</v>
      </c>
      <c r="D10" s="5" t="s">
        <v>628</v>
      </c>
      <c r="E10" s="13" t="s">
        <v>421</v>
      </c>
    </row>
    <row r="11" customFormat="false" ht="25.5" hidden="false" customHeight="true" outlineLevel="0" collapsed="false">
      <c r="A11" s="2" t="s">
        <v>642</v>
      </c>
      <c r="B11" s="15" t="s">
        <v>644</v>
      </c>
      <c r="C11" s="14" t="s">
        <v>645</v>
      </c>
      <c r="D11" s="5" t="s">
        <v>628</v>
      </c>
      <c r="E11" s="31" t="s">
        <v>421</v>
      </c>
    </row>
    <row r="12" customFormat="false" ht="25.5" hidden="false" customHeight="true" outlineLevel="0" collapsed="false">
      <c r="A12" s="4" t="s">
        <v>642</v>
      </c>
      <c r="B12" s="3" t="s">
        <v>646</v>
      </c>
      <c r="C12" s="10" t="s">
        <v>647</v>
      </c>
      <c r="D12" s="6" t="s">
        <v>636</v>
      </c>
      <c r="E12" s="13" t="s">
        <v>421</v>
      </c>
    </row>
    <row r="13" customFormat="false" ht="25.5" hidden="false" customHeight="true" outlineLevel="0" collapsed="false">
      <c r="A13" s="2" t="s">
        <v>642</v>
      </c>
      <c r="B13" s="15" t="s">
        <v>648</v>
      </c>
      <c r="C13" s="14" t="s">
        <v>649</v>
      </c>
      <c r="D13" s="5" t="s">
        <v>628</v>
      </c>
      <c r="E13" s="31" t="s">
        <v>421</v>
      </c>
    </row>
    <row r="14" customFormat="false" ht="25.5" hidden="false" customHeight="true" outlineLevel="0" collapsed="false">
      <c r="A14" s="4" t="s">
        <v>642</v>
      </c>
      <c r="B14" s="3" t="s">
        <v>650</v>
      </c>
      <c r="C14" s="10" t="s">
        <v>647</v>
      </c>
      <c r="D14" s="5" t="s">
        <v>628</v>
      </c>
      <c r="E14" s="13" t="s">
        <v>421</v>
      </c>
    </row>
    <row r="15" customFormat="false" ht="25.5" hidden="false" customHeight="true" outlineLevel="0" collapsed="false">
      <c r="A15" s="2" t="s">
        <v>642</v>
      </c>
      <c r="B15" s="15" t="s">
        <v>651</v>
      </c>
      <c r="C15" s="14" t="s">
        <v>652</v>
      </c>
      <c r="D15" s="6" t="s">
        <v>641</v>
      </c>
      <c r="E15" s="31" t="s">
        <v>421</v>
      </c>
    </row>
    <row r="16" customFormat="false" ht="25.5" hidden="false" customHeight="true" outlineLevel="0" collapsed="false">
      <c r="A16" s="4" t="s">
        <v>642</v>
      </c>
      <c r="B16" s="3" t="s">
        <v>653</v>
      </c>
      <c r="C16" s="10" t="s">
        <v>634</v>
      </c>
      <c r="D16" s="5" t="s">
        <v>628</v>
      </c>
      <c r="E16" s="13" t="s">
        <v>421</v>
      </c>
    </row>
    <row r="17" customFormat="false" ht="25.5" hidden="false" customHeight="true" outlineLevel="0" collapsed="false">
      <c r="A17" s="2" t="s">
        <v>642</v>
      </c>
      <c r="B17" s="15" t="s">
        <v>466</v>
      </c>
      <c r="C17" s="14" t="s">
        <v>654</v>
      </c>
      <c r="D17" s="5" t="s">
        <v>628</v>
      </c>
      <c r="E17" s="31" t="s">
        <v>421</v>
      </c>
    </row>
    <row r="18" customFormat="false" ht="25.5" hidden="false" customHeight="true" outlineLevel="0" collapsed="false">
      <c r="A18" s="4" t="s">
        <v>655</v>
      </c>
      <c r="B18" s="3" t="s">
        <v>656</v>
      </c>
      <c r="C18" s="10" t="s">
        <v>652</v>
      </c>
      <c r="D18" s="6" t="s">
        <v>641</v>
      </c>
      <c r="E18" s="13" t="s">
        <v>421</v>
      </c>
    </row>
    <row r="19" customFormat="false" ht="25.5" hidden="false" customHeight="true" outlineLevel="0" collapsed="false">
      <c r="A19" s="2" t="s">
        <v>655</v>
      </c>
      <c r="B19" s="15" t="s">
        <v>657</v>
      </c>
      <c r="C19" s="14" t="s">
        <v>654</v>
      </c>
      <c r="D19" s="5" t="s">
        <v>628</v>
      </c>
      <c r="E19" s="31" t="s">
        <v>421</v>
      </c>
    </row>
    <row r="20" customFormat="false" ht="25.5" hidden="false" customHeight="true" outlineLevel="0" collapsed="false">
      <c r="A20" s="4" t="s">
        <v>655</v>
      </c>
      <c r="B20" s="3" t="s">
        <v>658</v>
      </c>
      <c r="C20" s="10" t="s">
        <v>659</v>
      </c>
      <c r="D20" s="6" t="s">
        <v>660</v>
      </c>
      <c r="E20" s="13" t="s">
        <v>421</v>
      </c>
    </row>
    <row r="21" customFormat="false" ht="25.5" hidden="false" customHeight="true" outlineLevel="0" collapsed="false">
      <c r="A21" s="2" t="s">
        <v>655</v>
      </c>
      <c r="B21" s="15" t="s">
        <v>661</v>
      </c>
      <c r="C21" s="14" t="s">
        <v>634</v>
      </c>
      <c r="D21" s="5" t="s">
        <v>628</v>
      </c>
      <c r="E21" s="31" t="s">
        <v>421</v>
      </c>
    </row>
    <row r="22" customFormat="false" ht="25.5" hidden="false" customHeight="true" outlineLevel="0" collapsed="false">
      <c r="A22" s="4" t="s">
        <v>655</v>
      </c>
      <c r="B22" s="3" t="s">
        <v>662</v>
      </c>
      <c r="C22" s="10" t="s">
        <v>638</v>
      </c>
      <c r="D22" s="5" t="s">
        <v>628</v>
      </c>
      <c r="E22" s="13" t="s">
        <v>421</v>
      </c>
    </row>
    <row r="23" customFormat="false" ht="25.5" hidden="false" customHeight="true" outlineLevel="0" collapsed="false">
      <c r="A23" s="2" t="s">
        <v>655</v>
      </c>
      <c r="B23" s="15" t="s">
        <v>663</v>
      </c>
      <c r="C23" s="14" t="s">
        <v>664</v>
      </c>
      <c r="D23" s="5" t="s">
        <v>628</v>
      </c>
      <c r="E23" s="31" t="s">
        <v>421</v>
      </c>
    </row>
    <row r="24" customFormat="false" ht="25.5" hidden="false" customHeight="true" outlineLevel="0" collapsed="false">
      <c r="A24" s="4" t="s">
        <v>655</v>
      </c>
      <c r="B24" s="3" t="s">
        <v>665</v>
      </c>
      <c r="C24" s="10" t="s">
        <v>666</v>
      </c>
      <c r="D24" s="5" t="s">
        <v>628</v>
      </c>
      <c r="E24" s="13" t="s">
        <v>421</v>
      </c>
    </row>
    <row r="25" customFormat="false" ht="25.5" hidden="false" customHeight="true" outlineLevel="0" collapsed="false">
      <c r="A25" s="2" t="s">
        <v>667</v>
      </c>
      <c r="B25" s="15" t="s">
        <v>668</v>
      </c>
      <c r="C25" s="14" t="s">
        <v>638</v>
      </c>
      <c r="D25" s="5" t="s">
        <v>628</v>
      </c>
      <c r="E25" s="31" t="s">
        <v>421</v>
      </c>
    </row>
    <row r="26" customFormat="false" ht="25.5" hidden="false" customHeight="true" outlineLevel="0" collapsed="false">
      <c r="A26" s="4" t="s">
        <v>667</v>
      </c>
      <c r="B26" s="3" t="s">
        <v>580</v>
      </c>
      <c r="C26" s="10" t="s">
        <v>666</v>
      </c>
      <c r="D26" s="5" t="s">
        <v>628</v>
      </c>
      <c r="E26" s="13" t="s">
        <v>421</v>
      </c>
    </row>
    <row r="27" customFormat="false" ht="25.5" hidden="false" customHeight="true" outlineLevel="0" collapsed="false">
      <c r="A27" s="2" t="s">
        <v>667</v>
      </c>
      <c r="B27" s="15" t="s">
        <v>669</v>
      </c>
      <c r="C27" s="14" t="s">
        <v>666</v>
      </c>
      <c r="D27" s="5" t="s">
        <v>628</v>
      </c>
      <c r="E27" s="31" t="s">
        <v>421</v>
      </c>
    </row>
    <row r="28" customFormat="false" ht="25.5" hidden="false" customHeight="true" outlineLevel="0" collapsed="false">
      <c r="A28" s="4" t="s">
        <v>670</v>
      </c>
      <c r="B28" s="3" t="s">
        <v>671</v>
      </c>
      <c r="C28" s="10" t="s">
        <v>638</v>
      </c>
      <c r="D28" s="5" t="s">
        <v>628</v>
      </c>
      <c r="E28" s="13" t="s">
        <v>421</v>
      </c>
    </row>
    <row r="29" customFormat="false" ht="25.5" hidden="false" customHeight="true" outlineLevel="0" collapsed="false">
      <c r="A29" s="2" t="s">
        <v>670</v>
      </c>
      <c r="B29" s="15" t="s">
        <v>672</v>
      </c>
      <c r="C29" s="14" t="s">
        <v>673</v>
      </c>
      <c r="D29" s="5" t="s">
        <v>628</v>
      </c>
      <c r="E29" s="31" t="s">
        <v>421</v>
      </c>
    </row>
    <row r="30" customFormat="false" ht="25.5" hidden="false" customHeight="true" outlineLevel="0" collapsed="false">
      <c r="A30" s="4" t="s">
        <v>674</v>
      </c>
      <c r="B30" s="3" t="s">
        <v>675</v>
      </c>
      <c r="C30" s="10" t="s">
        <v>634</v>
      </c>
      <c r="D30" s="5" t="s">
        <v>628</v>
      </c>
      <c r="E30" s="13" t="s">
        <v>421</v>
      </c>
    </row>
    <row r="31" customFormat="false" ht="25.5" hidden="false" customHeight="true" outlineLevel="0" collapsed="false">
      <c r="A31" s="2" t="s">
        <v>674</v>
      </c>
      <c r="B31" s="15" t="s">
        <v>676</v>
      </c>
      <c r="C31" s="14" t="s">
        <v>677</v>
      </c>
      <c r="D31" s="6" t="s">
        <v>636</v>
      </c>
      <c r="E31" s="31" t="s">
        <v>421</v>
      </c>
    </row>
  </sheetData>
  <mergeCells count="1">
    <mergeCell ref="A1:E1"/>
  </mergeCells>
  <hyperlinks>
    <hyperlink ref="E3" r:id="rId1" display="Open"/>
    <hyperlink ref="E4" r:id="rId2" display="Open"/>
    <hyperlink ref="E5" r:id="rId3" display="Open"/>
    <hyperlink ref="E6" r:id="rId4" display="Open"/>
    <hyperlink ref="E7" r:id="rId5" display="Open"/>
    <hyperlink ref="E8" r:id="rId6" display="Open"/>
    <hyperlink ref="E9" r:id="rId7" display="Open"/>
    <hyperlink ref="E10" r:id="rId8" display="Open"/>
    <hyperlink ref="E11" r:id="rId9" display="Open"/>
    <hyperlink ref="E12" r:id="rId10" display="Open"/>
    <hyperlink ref="E13" r:id="rId11" display="Open"/>
    <hyperlink ref="E14" r:id="rId12" display="Open"/>
    <hyperlink ref="E15" r:id="rId13" display="Open"/>
    <hyperlink ref="E16" r:id="rId14" display="Open"/>
    <hyperlink ref="E17" r:id="rId15" display="Open"/>
    <hyperlink ref="E18" r:id="rId16" display="Open"/>
    <hyperlink ref="E19" r:id="rId17" display="Open"/>
    <hyperlink ref="E20" r:id="rId18" display="Open"/>
    <hyperlink ref="E21" r:id="rId19" display="Open"/>
    <hyperlink ref="E22" r:id="rId20" display="Open"/>
    <hyperlink ref="E23" r:id="rId21" display="Open"/>
    <hyperlink ref="E24" r:id="rId22" display="Open"/>
    <hyperlink ref="E25" r:id="rId23" display="Open"/>
    <hyperlink ref="E26" r:id="rId24" display="Open"/>
    <hyperlink ref="E27" r:id="rId25" display="Open"/>
    <hyperlink ref="E28" r:id="rId26" display="Open"/>
    <hyperlink ref="E29" r:id="rId27" display="Open"/>
    <hyperlink ref="E30" r:id="rId28" display="Open"/>
    <hyperlink ref="E31" r:id="rId29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6" min="3" style="0" width="16"/>
  </cols>
  <sheetData>
    <row r="2" customFormat="false" ht="30" hidden="false" customHeight="true" outlineLevel="0" collapsed="false">
      <c r="B2" s="1" t="s">
        <v>678</v>
      </c>
      <c r="C2" s="1"/>
      <c r="D2" s="1"/>
      <c r="E2" s="1"/>
      <c r="F2" s="1"/>
    </row>
    <row r="4" customFormat="false" ht="15" hidden="false" customHeight="true" outlineLevel="0" collapsed="false">
      <c r="B4" s="32" t="s">
        <v>679</v>
      </c>
      <c r="C4" s="32"/>
      <c r="D4" s="32"/>
      <c r="E4" s="32"/>
      <c r="F4" s="32"/>
    </row>
    <row r="5" customFormat="false" ht="15" hidden="false" customHeight="false" outlineLevel="0" collapsed="false">
      <c r="B5" s="25" t="s">
        <v>680</v>
      </c>
      <c r="C5" s="33" t="n">
        <f aca="false">COUNTA('NeetCode 150'!C3:C200)</f>
        <v>150</v>
      </c>
    </row>
    <row r="6" customFormat="false" ht="15" hidden="false" customHeight="false" outlineLevel="0" collapsed="false">
      <c r="B6" s="25" t="s">
        <v>681</v>
      </c>
      <c r="C6" s="33" t="n">
        <f aca="false">COUNTIF('NeetCode 150'!H3:H200,"Solved")</f>
        <v>0</v>
      </c>
    </row>
    <row r="7" customFormat="false" ht="15" hidden="false" customHeight="false" outlineLevel="0" collapsed="false">
      <c r="B7" s="25" t="s">
        <v>682</v>
      </c>
      <c r="C7" s="33" t="n">
        <f aca="false">COUNTIF('NeetCode 150'!H3:H200,"In Progress")</f>
        <v>0</v>
      </c>
    </row>
    <row r="8" customFormat="false" ht="15" hidden="false" customHeight="false" outlineLevel="0" collapsed="false">
      <c r="B8" s="25" t="s">
        <v>683</v>
      </c>
      <c r="C8" s="33" t="n">
        <f aca="false">COUNTIF('NeetCode 150'!H3:H200,"Needs Review")</f>
        <v>0</v>
      </c>
    </row>
    <row r="9" customFormat="false" ht="15" hidden="false" customHeight="false" outlineLevel="0" collapsed="false">
      <c r="B9" s="25" t="s">
        <v>44</v>
      </c>
      <c r="C9" s="33" t="n">
        <f aca="false">COUNTIF('NeetCode 150'!H3:H200,"Not Started")</f>
        <v>150</v>
      </c>
    </row>
    <row r="10" customFormat="false" ht="15" hidden="false" customHeight="false" outlineLevel="0" collapsed="false">
      <c r="B10" s="25" t="s">
        <v>684</v>
      </c>
      <c r="C10" s="34" t="n">
        <f aca="false">IF(C5=0,0,(C6)/C5)</f>
        <v>0</v>
      </c>
    </row>
    <row r="11" customFormat="false" ht="15" hidden="false" customHeight="false" outlineLevel="0" collapsed="false">
      <c r="B11" s="25" t="s">
        <v>685</v>
      </c>
      <c r="C11" s="33" t="n">
        <f aca="false">COUNTIF('NeetCode 150'!I3:I200,"&gt;=4")</f>
        <v>0</v>
      </c>
    </row>
    <row r="13" customFormat="false" ht="15" hidden="false" customHeight="true" outlineLevel="0" collapsed="false">
      <c r="B13" s="32" t="s">
        <v>686</v>
      </c>
      <c r="C13" s="32"/>
      <c r="D13" s="32"/>
      <c r="E13" s="32"/>
      <c r="F13" s="32"/>
    </row>
    <row r="14" customFormat="false" ht="27.75" hidden="false" customHeight="true" outlineLevel="0" collapsed="false">
      <c r="B14" s="35" t="s">
        <v>31</v>
      </c>
      <c r="C14" s="35" t="s">
        <v>687</v>
      </c>
      <c r="D14" s="35" t="s">
        <v>681</v>
      </c>
      <c r="E14" s="35" t="s">
        <v>688</v>
      </c>
    </row>
    <row r="15" customFormat="false" ht="15" hidden="false" customHeight="false" outlineLevel="0" collapsed="false">
      <c r="B15" s="12" t="s">
        <v>20</v>
      </c>
      <c r="C15" s="36" t="n">
        <f aca="false">COUNTIF('NeetCode 150'!E3:E200,1)</f>
        <v>84</v>
      </c>
      <c r="D15" s="36" t="n">
        <f aca="false">COUNTIFS('NeetCode 150'!E3:E200,1,'NeetCode 150'!H3:H200,"Solved")</f>
        <v>0</v>
      </c>
      <c r="E15" s="37" t="n">
        <f aca="false">IF(C15=0,0,D15/C15)</f>
        <v>0</v>
      </c>
    </row>
    <row r="16" customFormat="false" ht="15" hidden="false" customHeight="false" outlineLevel="0" collapsed="false">
      <c r="B16" s="17" t="s">
        <v>22</v>
      </c>
      <c r="C16" s="36" t="n">
        <f aca="false">COUNTIF('NeetCode 150'!E3:E200,2)</f>
        <v>48</v>
      </c>
      <c r="D16" s="36" t="n">
        <f aca="false">COUNTIFS('NeetCode 150'!E3:E200,2,'NeetCode 150'!H3:H200,"Solved")</f>
        <v>0</v>
      </c>
      <c r="E16" s="37" t="n">
        <f aca="false">IF(C16=0,0,D16/C16)</f>
        <v>0</v>
      </c>
    </row>
    <row r="17" customFormat="false" ht="15" hidden="false" customHeight="false" outlineLevel="0" collapsed="false">
      <c r="B17" s="19" t="s">
        <v>24</v>
      </c>
      <c r="C17" s="36" t="n">
        <f aca="false">COUNTIF('NeetCode 150'!E3:E200,3)</f>
        <v>18</v>
      </c>
      <c r="D17" s="36" t="n">
        <f aca="false">COUNTIFS('NeetCode 150'!E3:E200,3,'NeetCode 150'!H3:H200,"Solved")</f>
        <v>0</v>
      </c>
      <c r="E17" s="37" t="n">
        <f aca="false">IF(C17=0,0,D17/C17)</f>
        <v>0</v>
      </c>
    </row>
    <row r="20" customFormat="false" ht="15" hidden="false" customHeight="true" outlineLevel="0" collapsed="false">
      <c r="B20" s="32" t="s">
        <v>689</v>
      </c>
      <c r="C20" s="32"/>
      <c r="D20" s="32"/>
      <c r="E20" s="32"/>
      <c r="F20" s="32"/>
    </row>
    <row r="21" customFormat="false" ht="27.75" hidden="false" customHeight="true" outlineLevel="0" collapsed="false">
      <c r="B21" s="35" t="s">
        <v>28</v>
      </c>
      <c r="C21" s="35" t="s">
        <v>687</v>
      </c>
      <c r="D21" s="35" t="s">
        <v>681</v>
      </c>
      <c r="E21" s="35" t="s">
        <v>688</v>
      </c>
    </row>
    <row r="22" customFormat="false" ht="15" hidden="false" customHeight="false" outlineLevel="0" collapsed="false">
      <c r="B22" s="25" t="s">
        <v>39</v>
      </c>
      <c r="C22" s="36" t="n">
        <f aca="false">COUNTIF('NeetCode 150'!B3:B200,B22)</f>
        <v>9</v>
      </c>
      <c r="D22" s="36" t="n">
        <f aca="false">COUNTIFS('NeetCode 150'!B3:B200,B22,'NeetCode 150'!H3:H200,"Solved")</f>
        <v>0</v>
      </c>
      <c r="E22" s="37" t="n">
        <f aca="false">IF(C22=0,0,D22/C22)</f>
        <v>0</v>
      </c>
    </row>
    <row r="23" customFormat="false" ht="15" hidden="false" customHeight="false" outlineLevel="0" collapsed="false">
      <c r="B23" s="25" t="s">
        <v>62</v>
      </c>
      <c r="C23" s="36" t="n">
        <f aca="false">COUNTIF('NeetCode 150'!B3:B200,B23)</f>
        <v>5</v>
      </c>
      <c r="D23" s="36" t="n">
        <f aca="false">COUNTIFS('NeetCode 150'!B3:B200,B23,'NeetCode 150'!H3:H200,"Solved")</f>
        <v>0</v>
      </c>
      <c r="E23" s="37" t="n">
        <f aca="false">IF(C23=0,0,D23/C23)</f>
        <v>0</v>
      </c>
    </row>
    <row r="24" customFormat="false" ht="15" hidden="false" customHeight="false" outlineLevel="0" collapsed="false">
      <c r="B24" s="25" t="s">
        <v>74</v>
      </c>
      <c r="C24" s="36" t="n">
        <f aca="false">COUNTIF('NeetCode 150'!B3:B200,B24)</f>
        <v>6</v>
      </c>
      <c r="D24" s="36" t="n">
        <f aca="false">COUNTIFS('NeetCode 150'!B3:B200,B24,'NeetCode 150'!H3:H200,"Solved")</f>
        <v>0</v>
      </c>
      <c r="E24" s="37" t="n">
        <f aca="false">IF(C24=0,0,D24/C24)</f>
        <v>0</v>
      </c>
    </row>
    <row r="25" customFormat="false" ht="15" hidden="false" customHeight="false" outlineLevel="0" collapsed="false">
      <c r="B25" s="25" t="s">
        <v>87</v>
      </c>
      <c r="C25" s="36" t="n">
        <f aca="false">COUNTIF('NeetCode 150'!B3:B200,B25)</f>
        <v>7</v>
      </c>
      <c r="D25" s="36" t="n">
        <f aca="false">COUNTIFS('NeetCode 150'!B3:B200,B25,'NeetCode 150'!H3:H200,"Solved")</f>
        <v>0</v>
      </c>
      <c r="E25" s="37" t="n">
        <f aca="false">IF(C25=0,0,D25/C25)</f>
        <v>0</v>
      </c>
    </row>
    <row r="26" customFormat="false" ht="15" hidden="false" customHeight="false" outlineLevel="0" collapsed="false">
      <c r="B26" s="25" t="s">
        <v>101</v>
      </c>
      <c r="C26" s="36" t="n">
        <f aca="false">COUNTIF('NeetCode 150'!B3:B200,B26)</f>
        <v>7</v>
      </c>
      <c r="D26" s="36" t="n">
        <f aca="false">COUNTIFS('NeetCode 150'!B3:B200,B26,'NeetCode 150'!H3:H200,"Solved")</f>
        <v>0</v>
      </c>
      <c r="E26" s="37" t="n">
        <f aca="false">IF(C26=0,0,D26/C26)</f>
        <v>0</v>
      </c>
    </row>
    <row r="27" customFormat="false" ht="15" hidden="false" customHeight="false" outlineLevel="0" collapsed="false">
      <c r="B27" s="25" t="s">
        <v>114</v>
      </c>
      <c r="C27" s="36" t="n">
        <f aca="false">COUNTIF('NeetCode 150'!B3:B200,B27)</f>
        <v>11</v>
      </c>
      <c r="D27" s="36" t="n">
        <f aca="false">COUNTIFS('NeetCode 150'!B3:B200,B27,'NeetCode 150'!H3:H200,"Solved")</f>
        <v>0</v>
      </c>
      <c r="E27" s="37" t="n">
        <f aca="false">IF(C27=0,0,D27/C27)</f>
        <v>0</v>
      </c>
    </row>
    <row r="28" customFormat="false" ht="15" hidden="false" customHeight="false" outlineLevel="0" collapsed="false">
      <c r="B28" s="25" t="s">
        <v>137</v>
      </c>
      <c r="C28" s="36" t="n">
        <f aca="false">COUNTIF('NeetCode 150'!B3:B200,B28)</f>
        <v>15</v>
      </c>
      <c r="D28" s="36" t="n">
        <f aca="false">COUNTIFS('NeetCode 150'!B3:B200,B28,'NeetCode 150'!H3:H200,"Solved")</f>
        <v>0</v>
      </c>
      <c r="E28" s="37" t="n">
        <f aca="false">IF(C28=0,0,D28/C28)</f>
        <v>0</v>
      </c>
    </row>
    <row r="29" customFormat="false" ht="15" hidden="false" customHeight="false" outlineLevel="0" collapsed="false">
      <c r="B29" s="25" t="s">
        <v>168</v>
      </c>
      <c r="C29" s="36" t="n">
        <f aca="false">COUNTIF('NeetCode 150'!B3:B200,B29)</f>
        <v>3</v>
      </c>
      <c r="D29" s="36" t="n">
        <f aca="false">COUNTIFS('NeetCode 150'!B3:B200,B29,'NeetCode 150'!H3:H200,"Solved")</f>
        <v>0</v>
      </c>
      <c r="E29" s="37" t="n">
        <f aca="false">IF(C29=0,0,D29/C29)</f>
        <v>0</v>
      </c>
    </row>
    <row r="30" customFormat="false" ht="15" hidden="false" customHeight="false" outlineLevel="0" collapsed="false">
      <c r="B30" s="25" t="s">
        <v>175</v>
      </c>
      <c r="C30" s="36" t="n">
        <f aca="false">COUNTIF('NeetCode 150'!B3:B200,B30)</f>
        <v>7</v>
      </c>
      <c r="D30" s="36" t="n">
        <f aca="false">COUNTIFS('NeetCode 150'!B3:B200,B30,'NeetCode 150'!H3:H200,"Solved")</f>
        <v>0</v>
      </c>
      <c r="E30" s="37" t="n">
        <f aca="false">IF(C30=0,0,D30/C30)</f>
        <v>0</v>
      </c>
    </row>
    <row r="31" customFormat="false" ht="15" hidden="false" customHeight="false" outlineLevel="0" collapsed="false">
      <c r="B31" s="25" t="s">
        <v>189</v>
      </c>
      <c r="C31" s="36" t="n">
        <f aca="false">COUNTIF('NeetCode 150'!B3:B200,B31)</f>
        <v>9</v>
      </c>
      <c r="D31" s="36" t="n">
        <f aca="false">COUNTIFS('NeetCode 150'!B3:B200,B31,'NeetCode 150'!H3:H200,"Solved")</f>
        <v>0</v>
      </c>
      <c r="E31" s="37" t="n">
        <f aca="false">IF(C31=0,0,D31/C31)</f>
        <v>0</v>
      </c>
    </row>
    <row r="32" customFormat="false" ht="15" hidden="false" customHeight="false" outlineLevel="0" collapsed="false">
      <c r="B32" s="25" t="s">
        <v>207</v>
      </c>
      <c r="C32" s="36" t="n">
        <f aca="false">COUNTIF('NeetCode 150'!B3:B200,B32)</f>
        <v>13</v>
      </c>
      <c r="D32" s="36" t="n">
        <f aca="false">COUNTIFS('NeetCode 150'!B3:B200,B32,'NeetCode 150'!H3:H200,"Solved")</f>
        <v>0</v>
      </c>
      <c r="E32" s="37" t="n">
        <f aca="false">IF(C32=0,0,D32/C32)</f>
        <v>0</v>
      </c>
    </row>
    <row r="33" customFormat="false" ht="15" hidden="false" customHeight="false" outlineLevel="0" collapsed="false">
      <c r="B33" s="25" t="s">
        <v>231</v>
      </c>
      <c r="C33" s="36" t="n">
        <f aca="false">COUNTIF('NeetCode 150'!B3:B200,B33)</f>
        <v>6</v>
      </c>
      <c r="D33" s="36" t="n">
        <f aca="false">COUNTIFS('NeetCode 150'!B3:B200,B33,'NeetCode 150'!H3:H200,"Solved")</f>
        <v>0</v>
      </c>
      <c r="E33" s="37" t="n">
        <f aca="false">IF(C33=0,0,D33/C33)</f>
        <v>0</v>
      </c>
    </row>
    <row r="34" customFormat="false" ht="15" hidden="false" customHeight="false" outlineLevel="0" collapsed="false">
      <c r="B34" s="25" t="s">
        <v>244</v>
      </c>
      <c r="C34" s="36" t="n">
        <f aca="false">COUNTIF('NeetCode 150'!B3:B200,B34)</f>
        <v>12</v>
      </c>
      <c r="D34" s="36" t="n">
        <f aca="false">COUNTIFS('NeetCode 150'!B3:B200,B34,'NeetCode 150'!H3:H200,"Solved")</f>
        <v>0</v>
      </c>
      <c r="E34" s="37" t="n">
        <f aca="false">IF(C34=0,0,D34/C34)</f>
        <v>0</v>
      </c>
    </row>
    <row r="35" customFormat="false" ht="15" hidden="false" customHeight="false" outlineLevel="0" collapsed="false">
      <c r="B35" s="25" t="s">
        <v>266</v>
      </c>
      <c r="C35" s="36" t="n">
        <f aca="false">COUNTIF('NeetCode 150'!B3:B200,B35)</f>
        <v>11</v>
      </c>
      <c r="D35" s="36" t="n">
        <f aca="false">COUNTIFS('NeetCode 150'!B3:B200,B35,'NeetCode 150'!H3:H200,"Solved")</f>
        <v>0</v>
      </c>
      <c r="E35" s="37" t="n">
        <f aca="false">IF(C35=0,0,D35/C35)</f>
        <v>0</v>
      </c>
    </row>
    <row r="36" customFormat="false" ht="15" hidden="false" customHeight="false" outlineLevel="0" collapsed="false">
      <c r="B36" s="25" t="s">
        <v>285</v>
      </c>
      <c r="C36" s="36" t="n">
        <f aca="false">COUNTIF('NeetCode 150'!B3:B200,B36)</f>
        <v>8</v>
      </c>
      <c r="D36" s="36" t="n">
        <f aca="false">COUNTIFS('NeetCode 150'!B3:B200,B36,'NeetCode 150'!H3:H200,"Solved")</f>
        <v>0</v>
      </c>
      <c r="E36" s="37" t="n">
        <f aca="false">IF(C36=0,0,D36/C36)</f>
        <v>0</v>
      </c>
    </row>
    <row r="37" customFormat="false" ht="15" hidden="false" customHeight="false" outlineLevel="0" collapsed="false">
      <c r="B37" s="25" t="s">
        <v>302</v>
      </c>
      <c r="C37" s="36" t="n">
        <f aca="false">COUNTIF('NeetCode 150'!B3:B200,B37)</f>
        <v>6</v>
      </c>
      <c r="D37" s="36" t="n">
        <f aca="false">COUNTIFS('NeetCode 150'!B3:B200,B37,'NeetCode 150'!H3:H200,"Solved")</f>
        <v>0</v>
      </c>
      <c r="E37" s="37" t="n">
        <f aca="false">IF(C37=0,0,D37/C37)</f>
        <v>0</v>
      </c>
    </row>
    <row r="38" customFormat="false" ht="15" hidden="false" customHeight="false" outlineLevel="0" collapsed="false">
      <c r="B38" s="25" t="s">
        <v>315</v>
      </c>
      <c r="C38" s="36" t="n">
        <f aca="false">COUNTIF('NeetCode 150'!B3:B200,B38)</f>
        <v>8</v>
      </c>
      <c r="D38" s="36" t="n">
        <f aca="false">COUNTIFS('NeetCode 150'!B3:B200,B38,'NeetCode 150'!H3:H200,"Solved")</f>
        <v>0</v>
      </c>
      <c r="E38" s="37" t="n">
        <f aca="false">IF(C38=0,0,D38/C38)</f>
        <v>0</v>
      </c>
    </row>
    <row r="39" customFormat="false" ht="15" hidden="false" customHeight="false" outlineLevel="0" collapsed="false">
      <c r="B39" s="25" t="s">
        <v>332</v>
      </c>
      <c r="C39" s="36" t="n">
        <f aca="false">COUNTIF('NeetCode 150'!B3:B200,B39)</f>
        <v>7</v>
      </c>
      <c r="D39" s="36" t="n">
        <f aca="false">COUNTIFS('NeetCode 150'!B3:B200,B39,'NeetCode 150'!H3:H200,"Solved")</f>
        <v>0</v>
      </c>
      <c r="E39" s="37" t="n">
        <f aca="false">IF(C39=0,0,D39/C39)</f>
        <v>0</v>
      </c>
    </row>
  </sheetData>
  <mergeCells count="4">
    <mergeCell ref="B2:F2"/>
    <mergeCell ref="B4:F4"/>
    <mergeCell ref="B13:F13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2026-06-06T11:51:36Z</dcterms:created>
  <dc:creator>openpyxl</dc:creator>
  <dc:description/>
  <dc:language>en-US</dc:language>
  <cp:lastModifiedBy/>
  <dcterms:modified xsi:type="dcterms:W3CDTF">2026-06-06T11:51:36Z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